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omments6.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kelpe\Dropbox\TESSA V. 3.0 Proofs\Pollination module\"/>
    </mc:Choice>
  </mc:AlternateContent>
  <xr:revisionPtr revIDLastSave="0" documentId="13_ncr:1_{CAB84CE9-8645-4E37-A8D2-BA915456CF12}" xr6:coauthVersionLast="47" xr6:coauthVersionMax="47" xr10:uidLastSave="{00000000-0000-0000-0000-000000000000}"/>
  <bookViews>
    <workbookView xWindow="4965" yWindow="2445" windowWidth="21600" windowHeight="11385" tabRatio="500" firstSheet="3" activeTab="5" xr2:uid="{00000000-000D-0000-FFFF-FFFF00000000}"/>
  </bookViews>
  <sheets>
    <sheet name="Red Standard" sheetId="3" r:id="rId1"/>
    <sheet name="Red Standard Alternative" sheetId="5" r:id="rId2"/>
    <sheet name="Amber Standard" sheetId="1" r:id="rId3"/>
    <sheet name="Amber Standard Alternative" sheetId="4" r:id="rId4"/>
    <sheet name="Green Standard" sheetId="6" r:id="rId5"/>
    <sheet name="Green Standard Alternative" sheetId="7" r:id="rId6"/>
  </sheet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O7" i="1" l="1"/>
  <c r="O6" i="1"/>
  <c r="E6" i="5"/>
  <c r="G6" i="5"/>
  <c r="C9" i="5"/>
  <c r="G9" i="5"/>
  <c r="H6" i="5"/>
  <c r="C7" i="5"/>
  <c r="G7" i="5"/>
  <c r="H7" i="5"/>
  <c r="C8" i="5"/>
  <c r="G8" i="5"/>
  <c r="H8" i="5"/>
  <c r="H11" i="5"/>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J10" i="7"/>
  <c r="E10" i="7"/>
  <c r="I9" i="7"/>
  <c r="J9" i="7"/>
  <c r="H9" i="7"/>
  <c r="E9" i="7"/>
  <c r="I8" i="7"/>
  <c r="J8" i="7"/>
  <c r="H8" i="7"/>
  <c r="E8" i="7"/>
  <c r="I7" i="7"/>
  <c r="J7" i="7"/>
  <c r="H7" i="7"/>
  <c r="E7" i="7"/>
  <c r="E6" i="7"/>
  <c r="I6" i="7"/>
  <c r="J6" i="7"/>
  <c r="K6" i="7"/>
  <c r="O6" i="7"/>
  <c r="E6" i="3"/>
  <c r="G6" i="3"/>
  <c r="C7" i="3"/>
  <c r="G7" i="3"/>
  <c r="E7" i="6"/>
  <c r="E8" i="6"/>
  <c r="E9" i="6"/>
  <c r="E10" i="6"/>
  <c r="E11" i="6"/>
  <c r="E12" i="6"/>
  <c r="E13" i="6"/>
  <c r="E14" i="6"/>
  <c r="E15" i="6"/>
  <c r="E16" i="6"/>
  <c r="E17" i="6"/>
  <c r="E18" i="6"/>
  <c r="E19" i="6"/>
  <c r="E20" i="6"/>
  <c r="E21" i="6"/>
  <c r="I7" i="6"/>
  <c r="J7" i="6"/>
  <c r="E22" i="6"/>
  <c r="E23" i="6"/>
  <c r="E24" i="6"/>
  <c r="E25" i="6"/>
  <c r="E26" i="6"/>
  <c r="E27" i="6"/>
  <c r="E28" i="6"/>
  <c r="E29" i="6"/>
  <c r="E30" i="6"/>
  <c r="E31" i="6"/>
  <c r="E32" i="6"/>
  <c r="E33" i="6"/>
  <c r="E34" i="6"/>
  <c r="E35" i="6"/>
  <c r="E36" i="6"/>
  <c r="I8" i="6"/>
  <c r="J8" i="6"/>
  <c r="E37" i="6"/>
  <c r="E38" i="6"/>
  <c r="E39" i="6"/>
  <c r="E40" i="6"/>
  <c r="E41" i="6"/>
  <c r="E42" i="6"/>
  <c r="E43" i="6"/>
  <c r="E44" i="6"/>
  <c r="E45" i="6"/>
  <c r="E46" i="6"/>
  <c r="E47" i="6"/>
  <c r="E48" i="6"/>
  <c r="E49" i="6"/>
  <c r="E50" i="6"/>
  <c r="E51" i="6"/>
  <c r="I9" i="6"/>
  <c r="J9" i="6"/>
  <c r="E52" i="6"/>
  <c r="E53" i="6"/>
  <c r="E54" i="6"/>
  <c r="E55" i="6"/>
  <c r="E56" i="6"/>
  <c r="E57" i="6"/>
  <c r="E58" i="6"/>
  <c r="E59" i="6"/>
  <c r="E60" i="6"/>
  <c r="E61" i="6"/>
  <c r="E62" i="6"/>
  <c r="E63" i="6"/>
  <c r="E64" i="6"/>
  <c r="E65" i="6"/>
  <c r="E66" i="6"/>
  <c r="I10" i="6"/>
  <c r="J10" i="6"/>
  <c r="J11" i="6"/>
  <c r="K7" i="6"/>
  <c r="O7" i="6"/>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M6" i="4"/>
  <c r="O6" i="4"/>
  <c r="P6" i="4"/>
  <c r="J7" i="4"/>
  <c r="G6" i="4"/>
  <c r="G7" i="4"/>
  <c r="G8" i="4"/>
  <c r="G9" i="4"/>
  <c r="G10" i="4"/>
  <c r="G11" i="4"/>
  <c r="G12" i="4"/>
  <c r="J6" i="4"/>
  <c r="O7" i="4"/>
  <c r="O10" i="4"/>
  <c r="P7" i="4"/>
  <c r="J8" i="4"/>
  <c r="O8" i="4"/>
  <c r="P8" i="4"/>
  <c r="J9" i="4"/>
  <c r="O9" i="4"/>
  <c r="P9" i="4"/>
  <c r="P12" i="4"/>
  <c r="M9" i="4"/>
  <c r="I9" i="4"/>
  <c r="M8" i="4"/>
  <c r="I8" i="4"/>
  <c r="M7" i="4"/>
  <c r="I7" i="4"/>
  <c r="R6" i="4"/>
  <c r="M6" i="1"/>
  <c r="P6" i="1"/>
  <c r="G15" i="1"/>
  <c r="G16" i="1"/>
  <c r="G17" i="1"/>
  <c r="G18" i="1"/>
  <c r="G19" i="1"/>
  <c r="G20" i="1"/>
  <c r="G21" i="1"/>
  <c r="G22" i="1"/>
  <c r="G23" i="1"/>
  <c r="J7" i="1"/>
  <c r="G6" i="1"/>
  <c r="G7" i="1"/>
  <c r="G8" i="1"/>
  <c r="G9" i="1"/>
  <c r="G10" i="1"/>
  <c r="G11" i="1"/>
  <c r="G12" i="1"/>
  <c r="G13" i="1"/>
  <c r="G14" i="1"/>
  <c r="J6" i="1"/>
  <c r="O10" i="1"/>
  <c r="P7" i="1"/>
  <c r="G24" i="1"/>
  <c r="G25" i="1"/>
  <c r="G26" i="1"/>
  <c r="G27" i="1"/>
  <c r="G28" i="1"/>
  <c r="G29" i="1"/>
  <c r="G30" i="1"/>
  <c r="G31" i="1"/>
  <c r="G32" i="1"/>
  <c r="J8" i="1"/>
  <c r="O8" i="1"/>
  <c r="P8" i="1"/>
  <c r="G33" i="1"/>
  <c r="G34" i="1"/>
  <c r="G35" i="1"/>
  <c r="G36" i="1"/>
  <c r="G37" i="1"/>
  <c r="G38" i="1"/>
  <c r="G39" i="1"/>
  <c r="G40" i="1"/>
  <c r="G41" i="1"/>
  <c r="J9" i="1"/>
  <c r="O9" i="1"/>
  <c r="P9" i="1"/>
  <c r="P12" i="1"/>
  <c r="R6" i="1"/>
  <c r="H10" i="6"/>
  <c r="H9" i="6"/>
  <c r="H8" i="6"/>
  <c r="C8" i="3"/>
  <c r="G8" i="3"/>
  <c r="C9" i="3"/>
  <c r="G9" i="3"/>
  <c r="H8" i="3"/>
  <c r="H7" i="3"/>
  <c r="H6" i="3"/>
  <c r="H11" i="3"/>
  <c r="K6" i="3"/>
  <c r="E7" i="3"/>
  <c r="E9" i="3"/>
  <c r="E8" i="3"/>
  <c r="M7" i="1"/>
  <c r="E8" i="5"/>
  <c r="E7" i="5"/>
  <c r="K6" i="5"/>
  <c r="I7" i="1"/>
  <c r="I9" i="1"/>
  <c r="I8" i="1"/>
  <c r="M9" i="1"/>
  <c r="M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Ratto F.</author>
  </authors>
  <commentList>
    <comment ref="B5" authorId="0" shapeId="0" xr:uid="{00000000-0006-0000-0000-000001000000}">
      <text>
        <r>
          <rPr>
            <b/>
            <sz val="14"/>
            <color indexed="81"/>
            <rFont val="Calibri"/>
            <family val="2"/>
          </rPr>
          <t>Microsoft Office User:</t>
        </r>
        <r>
          <rPr>
            <sz val="14"/>
            <color indexed="81"/>
            <rFont val="Calibri"/>
            <family val="2"/>
          </rPr>
          <t xml:space="preserve">
Distance from site boudaries in meters.
You can adjust the distances to make them more meaningful to your site. 
NOTE: you will have to change to value for the distance in the formulae in the"Mean Visitation frequency" column.
</t>
        </r>
      </text>
    </comment>
    <comment ref="C5" authorId="0" shapeId="0" xr:uid="{00000000-0006-0000-0000-000002000000}">
      <text>
        <r>
          <rPr>
            <b/>
            <sz val="14"/>
            <color indexed="81"/>
            <rFont val="Calibri"/>
            <family val="2"/>
          </rPr>
          <t>Microsoft Office User:</t>
        </r>
        <r>
          <rPr>
            <sz val="14"/>
            <color indexed="81"/>
            <rFont val="Calibri"/>
            <family val="2"/>
          </rPr>
          <t xml:space="preserve">
these values are deducted by using the exponential curve formula with the decay rate values published in Ricketts et al 2008
(see table below)
REMEMBER to change the distance from the site in the formula embedded in the cells to match the distances in the previous colums.
To do this, click on the cell, the formula will appear in the formula bar above. 
</t>
        </r>
      </text>
    </comment>
    <comment ref="D5" authorId="0" shapeId="0" xr:uid="{00000000-0006-0000-0000-000003000000}">
      <text>
        <r>
          <rPr>
            <b/>
            <sz val="14"/>
            <color indexed="81"/>
            <rFont val="Calibri"/>
            <family val="2"/>
          </rPr>
          <t>Microsoft Office User:</t>
        </r>
        <r>
          <rPr>
            <sz val="14"/>
            <color indexed="81"/>
            <rFont val="Calibri"/>
            <family val="2"/>
          </rPr>
          <t xml:space="preserve">
if the maximum yield at each distance is different and it is known, it will give more accurate estimate</t>
        </r>
      </text>
    </comment>
    <comment ref="E5" authorId="0" shapeId="0" xr:uid="{00000000-0006-0000-0000-000004000000}">
      <text>
        <r>
          <rPr>
            <b/>
            <sz val="14"/>
            <color indexed="81"/>
            <rFont val="Calibri"/>
            <family val="2"/>
          </rPr>
          <t>Microsoft Office User:</t>
        </r>
        <r>
          <rPr>
            <sz val="14"/>
            <color indexed="81"/>
            <rFont val="Calibri"/>
            <family val="2"/>
          </rPr>
          <t xml:space="preserve">
Multiply the maximum yield by the dependency ratio of your plant of interest
This will give you the proportion of the yield that is attributable to pollination</t>
        </r>
      </text>
    </comment>
    <comment ref="F5" authorId="0" shapeId="0" xr:uid="{00000000-0006-0000-0000-000005000000}">
      <text>
        <r>
          <rPr>
            <b/>
            <sz val="14"/>
            <color indexed="81"/>
            <rFont val="Calibri"/>
            <family val="2"/>
          </rPr>
          <t>Microsoft Office User:</t>
        </r>
        <r>
          <rPr>
            <sz val="14"/>
            <color indexed="81"/>
            <rFont val="Calibri"/>
            <family val="2"/>
          </rPr>
          <t xml:space="preserve">
Local or national farmgate price of crop  per kg. this is the price of the product at the time it leaves the farm, it is NOT the market price.
</t>
        </r>
      </text>
    </comment>
    <comment ref="H5" authorId="0" shapeId="0" xr:uid="{00000000-0006-0000-0000-000006000000}">
      <text>
        <r>
          <rPr>
            <b/>
            <sz val="14"/>
            <color indexed="81"/>
            <rFont val="Calibri"/>
            <family val="2"/>
          </rPr>
          <t>Microsoft Office User:</t>
        </r>
        <r>
          <rPr>
            <sz val="14"/>
            <color indexed="81"/>
            <rFont val="Calibri"/>
            <family val="2"/>
          </rPr>
          <t xml:space="preserve">
This is done to exclude the baseline pollination service that is the pollination provided by those pollinators, which persist fine in the agricultural matrix.</t>
        </r>
      </text>
    </comment>
    <comment ref="I5" authorId="0" shapeId="0" xr:uid="{00000000-0006-0000-0000-000007000000}">
      <text>
        <r>
          <rPr>
            <b/>
            <sz val="14"/>
            <color indexed="81"/>
            <rFont val="Calibri"/>
            <family val="2"/>
          </rPr>
          <t>Microsoft Office User:</t>
        </r>
        <r>
          <rPr>
            <sz val="14"/>
            <color indexed="81"/>
            <rFont val="Calibri"/>
            <family val="2"/>
          </rPr>
          <t xml:space="preserve">
You can find this in lookup table 1
</t>
        </r>
      </text>
    </comment>
    <comment ref="J5" authorId="0" shapeId="0" xr:uid="{00000000-0006-0000-0000-000008000000}">
      <text>
        <r>
          <rPr>
            <b/>
            <sz val="12"/>
            <color indexed="81"/>
            <rFont val="Calibri"/>
            <family val="2"/>
          </rPr>
          <t>Microsoft Office User:</t>
        </r>
        <r>
          <rPr>
            <sz val="12"/>
            <color indexed="81"/>
            <rFont val="Calibri"/>
            <family val="2"/>
          </rPr>
          <t xml:space="preserve">
</t>
        </r>
        <r>
          <rPr>
            <sz val="12"/>
            <color indexed="81"/>
            <rFont val="Tahoma"/>
            <family val="2"/>
          </rPr>
          <t>total area of crop that fall within the 1km buffer</t>
        </r>
      </text>
    </comment>
    <comment ref="K5" authorId="1" shapeId="0" xr:uid="{00000000-0006-0000-0000-000009000000}">
      <text>
        <r>
          <rPr>
            <b/>
            <sz val="9"/>
            <color indexed="81"/>
            <rFont val="Tahoma"/>
            <family val="2"/>
          </rPr>
          <t>Ratto F.:</t>
        </r>
        <r>
          <rPr>
            <sz val="9"/>
            <color indexed="81"/>
            <rFont val="Tahoma"/>
            <family val="2"/>
          </rPr>
          <t xml:space="preserve">
</t>
        </r>
        <r>
          <rPr>
            <sz val="12"/>
            <color indexed="81"/>
            <rFont val="Tahoma"/>
            <family val="2"/>
          </rPr>
          <t>This value is obtained by multiplying the value of crop per square meter by the total area of crop within the 1km buffer area</t>
        </r>
      </text>
    </comment>
    <comment ref="H10" authorId="0" shapeId="0" xr:uid="{00000000-0006-0000-0000-00000A000000}">
      <text>
        <r>
          <rPr>
            <b/>
            <sz val="10"/>
            <color indexed="81"/>
            <rFont val="Calibri"/>
            <family val="2"/>
          </rPr>
          <t>Microsoft Office User:</t>
        </r>
        <r>
          <rPr>
            <sz val="10"/>
            <color indexed="81"/>
            <rFont val="Calibri"/>
            <family val="2"/>
          </rPr>
          <t xml:space="preserve">
</t>
        </r>
        <r>
          <rPr>
            <sz val="12"/>
            <color indexed="81"/>
            <rFont val="Tahoma"/>
            <family val="2"/>
          </rPr>
          <t xml:space="preserve">this is the average of the value of pollination at the increasing distances.
This is the final value used in the economic calculation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Ratto F.</author>
  </authors>
  <commentList>
    <comment ref="B5" authorId="0" shapeId="0" xr:uid="{00000000-0006-0000-0100-000001000000}">
      <text>
        <r>
          <rPr>
            <b/>
            <sz val="14"/>
            <color indexed="81"/>
            <rFont val="Calibri"/>
            <family val="2"/>
          </rPr>
          <t>Microsoft Office User:</t>
        </r>
        <r>
          <rPr>
            <sz val="14"/>
            <color indexed="81"/>
            <rFont val="Calibri"/>
            <family val="2"/>
          </rPr>
          <t xml:space="preserve">
Distance from site boudaries in meters.
You can adjust the distances to make them more meaningful to your site. 
NOTE: you will have to change to value for the distance in the formulas in the"Visitation frequency" column
</t>
        </r>
      </text>
    </comment>
    <comment ref="C5" authorId="0" shapeId="0" xr:uid="{00000000-0006-0000-0100-000002000000}">
      <text>
        <r>
          <rPr>
            <b/>
            <sz val="14"/>
            <color indexed="81"/>
            <rFont val="Calibri"/>
            <family val="2"/>
          </rPr>
          <t>Microsoft Office User:</t>
        </r>
        <r>
          <rPr>
            <sz val="14"/>
            <color indexed="81"/>
            <rFont val="Calibri"/>
            <family val="2"/>
          </rPr>
          <t xml:space="preserve">
these values are deducted by using the exponential curve formula with the decay rate values published in Ricketts et al 2008
(see table below)</t>
        </r>
      </text>
    </comment>
    <comment ref="D5" authorId="0" shapeId="0" xr:uid="{00000000-0006-0000-0100-000003000000}">
      <text>
        <r>
          <rPr>
            <b/>
            <sz val="14"/>
            <color indexed="81"/>
            <rFont val="Calibri"/>
            <family val="2"/>
          </rPr>
          <t>Microsoft Office User:</t>
        </r>
        <r>
          <rPr>
            <sz val="14"/>
            <color indexed="81"/>
            <rFont val="Calibri"/>
            <family val="2"/>
          </rPr>
          <t xml:space="preserve">
if the maximum yield at each distance is different and it is known, it will give more accurate estimate</t>
        </r>
      </text>
    </comment>
    <comment ref="E5" authorId="0" shapeId="0" xr:uid="{00000000-0006-0000-0100-000004000000}">
      <text>
        <r>
          <rPr>
            <b/>
            <sz val="14"/>
            <color indexed="81"/>
            <rFont val="Calibri"/>
            <family val="2"/>
          </rPr>
          <t>Microsoft Office User:</t>
        </r>
        <r>
          <rPr>
            <sz val="14"/>
            <color indexed="81"/>
            <rFont val="Calibri"/>
            <family val="2"/>
          </rPr>
          <t xml:space="preserve">
Multiply the maximum yield by the dependency ratio of your plant of interest
This will give you the proportion of the yield that is attributable to pollination</t>
        </r>
      </text>
    </comment>
    <comment ref="F5" authorId="0" shapeId="0" xr:uid="{00000000-0006-0000-0100-000005000000}">
      <text>
        <r>
          <rPr>
            <b/>
            <sz val="14"/>
            <color indexed="81"/>
            <rFont val="Calibri"/>
            <family val="2"/>
          </rPr>
          <t>Microsoft Office User:</t>
        </r>
        <r>
          <rPr>
            <sz val="14"/>
            <color indexed="81"/>
            <rFont val="Calibri"/>
            <family val="2"/>
          </rPr>
          <t xml:space="preserve">
Local or national price of crop  per kg</t>
        </r>
      </text>
    </comment>
    <comment ref="H5" authorId="0" shapeId="0" xr:uid="{00000000-0006-0000-0100-000006000000}">
      <text>
        <r>
          <rPr>
            <b/>
            <sz val="14"/>
            <color indexed="81"/>
            <rFont val="Calibri"/>
            <family val="2"/>
          </rPr>
          <t>Microsoft Office User:</t>
        </r>
        <r>
          <rPr>
            <sz val="14"/>
            <color indexed="81"/>
            <rFont val="Calibri"/>
            <family val="2"/>
          </rPr>
          <t xml:space="preserve">
This is done to exclude the baseline pollination service that is the pollination provided by those pollinators, which persist fine in the agricultural matrix.</t>
        </r>
      </text>
    </comment>
    <comment ref="I5" authorId="0" shapeId="0" xr:uid="{00000000-0006-0000-0100-000007000000}">
      <text>
        <r>
          <rPr>
            <b/>
            <sz val="14"/>
            <color indexed="81"/>
            <rFont val="Calibri"/>
            <family val="2"/>
          </rPr>
          <t>Microsoft Office User:</t>
        </r>
        <r>
          <rPr>
            <sz val="14"/>
            <color indexed="81"/>
            <rFont val="Calibri"/>
            <family val="2"/>
          </rPr>
          <t xml:space="preserve">
You can find this in lookup table 1
</t>
        </r>
      </text>
    </comment>
    <comment ref="J5" authorId="0" shapeId="0" xr:uid="{00000000-0006-0000-0100-000008000000}">
      <text>
        <r>
          <rPr>
            <b/>
            <sz val="12"/>
            <color indexed="81"/>
            <rFont val="Calibri"/>
            <family val="2"/>
          </rPr>
          <t>Microsoft Office User:</t>
        </r>
        <r>
          <rPr>
            <sz val="12"/>
            <color indexed="81"/>
            <rFont val="Calibri"/>
            <family val="2"/>
          </rPr>
          <t xml:space="preserve">
</t>
        </r>
        <r>
          <rPr>
            <sz val="12"/>
            <color indexed="81"/>
            <rFont val="Tahoma"/>
            <family val="2"/>
          </rPr>
          <t>total area of crop that fall within the 1km buffer</t>
        </r>
      </text>
    </comment>
    <comment ref="K5" authorId="1" shapeId="0" xr:uid="{00000000-0006-0000-0100-000009000000}">
      <text>
        <r>
          <rPr>
            <b/>
            <sz val="9"/>
            <color indexed="81"/>
            <rFont val="Tahoma"/>
            <family val="2"/>
          </rPr>
          <t>Ratto F.:</t>
        </r>
        <r>
          <rPr>
            <sz val="9"/>
            <color indexed="81"/>
            <rFont val="Tahoma"/>
            <family val="2"/>
          </rPr>
          <t xml:space="preserve">
</t>
        </r>
        <r>
          <rPr>
            <sz val="12"/>
            <color indexed="81"/>
            <rFont val="Tahoma"/>
            <family val="2"/>
          </rPr>
          <t>This value is obtained by multiplying the value of crop per square meter by the total area of crop within the 1km buffer area</t>
        </r>
      </text>
    </comment>
    <comment ref="H10" authorId="0" shapeId="0" xr:uid="{00000000-0006-0000-0100-00000A000000}">
      <text>
        <r>
          <rPr>
            <b/>
            <sz val="10"/>
            <color indexed="81"/>
            <rFont val="Calibri"/>
            <family val="2"/>
          </rPr>
          <t>Microsoft Office User:</t>
        </r>
        <r>
          <rPr>
            <sz val="10"/>
            <color indexed="81"/>
            <rFont val="Calibri"/>
            <family val="2"/>
          </rPr>
          <t xml:space="preserve">
</t>
        </r>
        <r>
          <rPr>
            <sz val="12"/>
            <color indexed="81"/>
            <rFont val="Tahoma"/>
            <family val="2"/>
          </rPr>
          <t xml:space="preserve">this is the average of the value of pollination at the increasing distances.
This is the final value used in the economic calculation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Ratto F.</author>
    <author>Fabrizia Ratto</author>
  </authors>
  <commentList>
    <comment ref="A5" authorId="0" shapeId="0" xr:uid="{00000000-0006-0000-0200-000001000000}">
      <text>
        <r>
          <rPr>
            <b/>
            <sz val="12"/>
            <color indexed="81"/>
            <rFont val="Calibri"/>
            <family val="2"/>
          </rPr>
          <t>Microsoft Office User:</t>
        </r>
        <r>
          <rPr>
            <sz val="12"/>
            <color indexed="81"/>
            <rFont val="Calibri"/>
            <family val="2"/>
          </rPr>
          <t xml:space="preserve">
</t>
        </r>
        <r>
          <rPr>
            <sz val="12"/>
            <color indexed="81"/>
            <rFont val="Tahoma"/>
            <family val="2"/>
          </rPr>
          <t>Buffer aea in which you collected the data</t>
        </r>
      </text>
    </comment>
    <comment ref="D5" authorId="1" shapeId="0" xr:uid="{00000000-0006-0000-0200-000002000000}">
      <text>
        <r>
          <rPr>
            <b/>
            <sz val="9"/>
            <color indexed="81"/>
            <rFont val="Tahoma"/>
            <family val="2"/>
          </rPr>
          <t>Ratto F.:</t>
        </r>
        <r>
          <rPr>
            <sz val="9"/>
            <color indexed="81"/>
            <rFont val="Tahoma"/>
            <family val="2"/>
          </rPr>
          <t xml:space="preserve">
</t>
        </r>
        <r>
          <rPr>
            <sz val="12"/>
            <color indexed="81"/>
            <rFont val="Tahoma"/>
            <family val="2"/>
          </rPr>
          <t>Copy here the data obtained from the visitation frequency sampling, both in the assessment site and in the buffer</t>
        </r>
      </text>
    </comment>
    <comment ref="E5" authorId="0" shapeId="0" xr:uid="{00000000-0006-0000-0200-000003000000}">
      <text>
        <r>
          <rPr>
            <b/>
            <sz val="12"/>
            <color indexed="81"/>
            <rFont val="Calibri"/>
            <family val="2"/>
          </rPr>
          <t>Microsoft Office User:</t>
        </r>
        <r>
          <rPr>
            <sz val="12"/>
            <color indexed="81"/>
            <rFont val="Calibri"/>
            <family val="2"/>
          </rPr>
          <t xml:space="preserve">
</t>
        </r>
        <r>
          <rPr>
            <sz val="12"/>
            <color indexed="81"/>
            <rFont val="Tahoma"/>
            <family val="2"/>
          </rPr>
          <t>Number of flowers in the observation plot</t>
        </r>
      </text>
    </comment>
    <comment ref="F5" authorId="0" shapeId="0" xr:uid="{00000000-0006-0000-0200-000004000000}">
      <text>
        <r>
          <rPr>
            <b/>
            <sz val="12"/>
            <color indexed="81"/>
            <rFont val="Calibri"/>
            <family val="2"/>
          </rPr>
          <t>Microsoft Office User:</t>
        </r>
        <r>
          <rPr>
            <sz val="12"/>
            <color indexed="81"/>
            <rFont val="Calibri"/>
            <family val="2"/>
          </rPr>
          <t xml:space="preserve">
</t>
        </r>
        <r>
          <rPr>
            <sz val="12"/>
            <color indexed="81"/>
            <rFont val="Tahoma"/>
            <family val="2"/>
          </rPr>
          <t>Distance from the site boundaries</t>
        </r>
        <r>
          <rPr>
            <sz val="12"/>
            <color indexed="81"/>
            <rFont val="Calibri"/>
            <family val="2"/>
          </rPr>
          <t xml:space="preserve">
</t>
        </r>
      </text>
    </comment>
    <comment ref="G5" authorId="1" shapeId="0" xr:uid="{00000000-0006-0000-0200-000005000000}">
      <text>
        <r>
          <rPr>
            <b/>
            <sz val="9"/>
            <color indexed="81"/>
            <rFont val="Tahoma"/>
            <family val="2"/>
          </rPr>
          <t>Ratto F.:</t>
        </r>
        <r>
          <rPr>
            <sz val="9"/>
            <color indexed="81"/>
            <rFont val="Tahoma"/>
            <family val="2"/>
          </rPr>
          <t xml:space="preserve">
</t>
        </r>
        <r>
          <rPr>
            <sz val="12"/>
            <color indexed="81"/>
            <rFont val="Tahoma"/>
            <family val="2"/>
          </rPr>
          <t>This is the unit of measure for the visitation frequency data, calculated as the number of visits over the number of flowers over time</t>
        </r>
      </text>
    </comment>
    <comment ref="K5" authorId="0" shapeId="0" xr:uid="{00000000-0006-0000-0200-000006000000}">
      <text>
        <r>
          <rPr>
            <b/>
            <sz val="14"/>
            <color rgb="FF000000"/>
            <rFont val="Calibri"/>
            <family val="2"/>
          </rPr>
          <t>Microsoft Office User:</t>
        </r>
        <r>
          <rPr>
            <sz val="14"/>
            <color rgb="FF000000"/>
            <rFont val="Calibri"/>
            <family val="2"/>
          </rPr>
          <t xml:space="preserve">
</t>
        </r>
        <r>
          <rPr>
            <sz val="14"/>
            <color rgb="FF000000"/>
            <rFont val="Calibri"/>
            <family val="2"/>
          </rPr>
          <t>if the maximum yield at each distance is different and it is known, it will give more accurate estimate</t>
        </r>
      </text>
    </comment>
    <comment ref="L5" authorId="0" shapeId="0" xr:uid="{00000000-0006-0000-0200-000007000000}">
      <text>
        <r>
          <rPr>
            <b/>
            <sz val="14"/>
            <color rgb="FF000000"/>
            <rFont val="Calibri"/>
            <family val="2"/>
          </rPr>
          <t>Microsoft Office User:</t>
        </r>
        <r>
          <rPr>
            <sz val="14"/>
            <color rgb="FF000000"/>
            <rFont val="Calibri"/>
            <family val="2"/>
          </rPr>
          <t xml:space="preserve">
</t>
        </r>
        <r>
          <rPr>
            <sz val="14"/>
            <color rgb="FF000000"/>
            <rFont val="Calibri"/>
            <family val="2"/>
          </rPr>
          <t>You can find this in lookup table 1</t>
        </r>
      </text>
    </comment>
    <comment ref="M5" authorId="0" shapeId="0" xr:uid="{00000000-0006-0000-0200-000008000000}">
      <text>
        <r>
          <rPr>
            <b/>
            <sz val="14"/>
            <color indexed="81"/>
            <rFont val="Calibri"/>
            <family val="2"/>
          </rPr>
          <t>Microsoft Office User:</t>
        </r>
        <r>
          <rPr>
            <sz val="14"/>
            <color indexed="81"/>
            <rFont val="Calibri"/>
            <family val="2"/>
          </rPr>
          <t xml:space="preserve">
Multiply the maximum yield by the dependency ratio of your plant of interest
This will give you the proportion of the yile that is attributable to pollination</t>
        </r>
      </text>
    </comment>
    <comment ref="N5" authorId="0" shapeId="0" xr:uid="{00000000-0006-0000-0200-000009000000}">
      <text>
        <r>
          <rPr>
            <b/>
            <sz val="14"/>
            <color indexed="81"/>
            <rFont val="Calibri"/>
            <family val="2"/>
          </rPr>
          <t>Microsoft Office User:</t>
        </r>
        <r>
          <rPr>
            <sz val="14"/>
            <color indexed="81"/>
            <rFont val="Calibri"/>
            <family val="2"/>
          </rPr>
          <t xml:space="preserve">
Local or national price of crop  per kg or per tonne</t>
        </r>
      </text>
    </comment>
    <comment ref="O5" authorId="0" shapeId="0" xr:uid="{00000000-0006-0000-0200-00000A000000}">
      <text>
        <r>
          <rPr>
            <b/>
            <sz val="14"/>
            <color indexed="81"/>
            <rFont val="Calibri"/>
            <family val="2"/>
          </rPr>
          <t>Microsoft Office User:</t>
        </r>
        <r>
          <rPr>
            <sz val="14"/>
            <color indexed="81"/>
            <rFont val="Calibri"/>
            <family val="2"/>
          </rPr>
          <t xml:space="preserve">
Value of pollination per m2 or per ha</t>
        </r>
      </text>
    </comment>
    <comment ref="P5" authorId="0" shapeId="0" xr:uid="{00000000-0006-0000-0200-00000B000000}">
      <text>
        <r>
          <rPr>
            <b/>
            <sz val="14"/>
            <color rgb="FF000000"/>
            <rFont val="Calibri"/>
            <family val="2"/>
          </rPr>
          <t>Microsoft Office User:</t>
        </r>
        <r>
          <rPr>
            <sz val="14"/>
            <color rgb="FF000000"/>
            <rFont val="Calibri"/>
            <family val="2"/>
          </rPr>
          <t xml:space="preserve">
</t>
        </r>
        <r>
          <rPr>
            <sz val="14"/>
            <color rgb="FF000000"/>
            <rFont val="Calibri"/>
            <family val="2"/>
          </rPr>
          <t>This is done to exclude the baseline pollination service that is the pollination provided by those pollinators, which persist fine in the agricultural matrix.</t>
        </r>
      </text>
    </comment>
    <comment ref="R5" authorId="1" shapeId="0" xr:uid="{00000000-0006-0000-0200-00000C000000}">
      <text>
        <r>
          <rPr>
            <b/>
            <sz val="9"/>
            <color indexed="81"/>
            <rFont val="Tahoma"/>
            <family val="2"/>
          </rPr>
          <t>Ratto F.:</t>
        </r>
        <r>
          <rPr>
            <sz val="9"/>
            <color indexed="81"/>
            <rFont val="Tahoma"/>
            <family val="2"/>
          </rPr>
          <t xml:space="preserve">
</t>
        </r>
        <r>
          <rPr>
            <sz val="12"/>
            <color indexed="81"/>
            <rFont val="Tahoma"/>
            <family val="2"/>
          </rPr>
          <t>This value is obtained by multiplying the value of crop per square meter by the total area of crop within the 1km buffer area</t>
        </r>
      </text>
    </comment>
    <comment ref="O10" authorId="2" shapeId="0" xr:uid="{00000000-0006-0000-0200-00000D000000}">
      <text>
        <r>
          <rPr>
            <b/>
            <sz val="14"/>
            <color indexed="81"/>
            <rFont val="Calibri"/>
            <family val="2"/>
          </rPr>
          <t>Fabrizia Ratto:</t>
        </r>
        <r>
          <rPr>
            <sz val="14"/>
            <color indexed="81"/>
            <rFont val="Calibri"/>
            <family val="2"/>
          </rPr>
          <t xml:space="preserve">
Use the formula in the graph to calculate the value at 1km. The formula is already embedded but you need to change the values a the start (0m in blue) and the decay rate (in red) to match the actual values.
X is = 1000 (m)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Ratto F.</author>
    <author>Fabrizia Ratto</author>
  </authors>
  <commentList>
    <comment ref="A5" authorId="0" shapeId="0" xr:uid="{00000000-0006-0000-0300-000001000000}">
      <text>
        <r>
          <rPr>
            <b/>
            <sz val="12"/>
            <color indexed="81"/>
            <rFont val="Calibri"/>
            <family val="2"/>
          </rPr>
          <t>Microsoft Office User:</t>
        </r>
        <r>
          <rPr>
            <sz val="12"/>
            <color indexed="81"/>
            <rFont val="Calibri"/>
            <family val="2"/>
          </rPr>
          <t xml:space="preserve">
</t>
        </r>
        <r>
          <rPr>
            <sz val="12"/>
            <color indexed="81"/>
            <rFont val="Tahoma"/>
            <family val="2"/>
          </rPr>
          <t>Buffer aea in which you collected the data</t>
        </r>
      </text>
    </comment>
    <comment ref="D5" authorId="1" shapeId="0" xr:uid="{00000000-0006-0000-0300-000002000000}">
      <text>
        <r>
          <rPr>
            <b/>
            <sz val="9"/>
            <color indexed="81"/>
            <rFont val="Tahoma"/>
            <family val="2"/>
          </rPr>
          <t>Ratto F.:</t>
        </r>
        <r>
          <rPr>
            <sz val="9"/>
            <color indexed="81"/>
            <rFont val="Tahoma"/>
            <family val="2"/>
          </rPr>
          <t xml:space="preserve">
</t>
        </r>
        <r>
          <rPr>
            <sz val="12"/>
            <color indexed="81"/>
            <rFont val="Tahoma"/>
            <family val="2"/>
          </rPr>
          <t>Copy here the data obtained from the visitation frequency sampling, both in the assessment site and in the buffer</t>
        </r>
      </text>
    </comment>
    <comment ref="E5" authorId="0" shapeId="0" xr:uid="{00000000-0006-0000-0300-000003000000}">
      <text>
        <r>
          <rPr>
            <b/>
            <sz val="12"/>
            <color rgb="FF000000"/>
            <rFont val="Calibri"/>
            <family val="2"/>
          </rPr>
          <t>Microsoft Office User:</t>
        </r>
        <r>
          <rPr>
            <sz val="12"/>
            <color rgb="FF000000"/>
            <rFont val="Calibri"/>
            <family val="2"/>
          </rPr>
          <t xml:space="preserve">
</t>
        </r>
        <r>
          <rPr>
            <sz val="12"/>
            <color rgb="FF000000"/>
            <rFont val="Tahoma"/>
            <family val="2"/>
          </rPr>
          <t>Number of flowers in the observation plot</t>
        </r>
      </text>
    </comment>
    <comment ref="F5" authorId="0" shapeId="0" xr:uid="{00000000-0006-0000-0300-000004000000}">
      <text>
        <r>
          <rPr>
            <b/>
            <sz val="12"/>
            <color rgb="FF000000"/>
            <rFont val="Calibri"/>
            <family val="2"/>
          </rPr>
          <t>Microsoft Office User:</t>
        </r>
        <r>
          <rPr>
            <sz val="12"/>
            <color rgb="FF000000"/>
            <rFont val="Calibri"/>
            <family val="2"/>
          </rPr>
          <t xml:space="preserve">
</t>
        </r>
        <r>
          <rPr>
            <sz val="12"/>
            <color rgb="FF000000"/>
            <rFont val="Tahoma"/>
            <family val="2"/>
          </rPr>
          <t>Distance from the site boundaries</t>
        </r>
        <r>
          <rPr>
            <sz val="12"/>
            <color rgb="FF000000"/>
            <rFont val="Calibri"/>
            <family val="2"/>
          </rPr>
          <t xml:space="preserve">
</t>
        </r>
      </text>
    </comment>
    <comment ref="G5" authorId="1" shapeId="0" xr:uid="{00000000-0006-0000-0300-000005000000}">
      <text>
        <r>
          <rPr>
            <b/>
            <sz val="9"/>
            <color rgb="FF000000"/>
            <rFont val="Tahoma"/>
            <family val="2"/>
          </rPr>
          <t>Ratto F.:</t>
        </r>
        <r>
          <rPr>
            <sz val="9"/>
            <color rgb="FF000000"/>
            <rFont val="Tahoma"/>
            <family val="2"/>
          </rPr>
          <t xml:space="preserve">
</t>
        </r>
        <r>
          <rPr>
            <sz val="12"/>
            <color rgb="FF000000"/>
            <rFont val="Tahoma"/>
            <family val="2"/>
          </rPr>
          <t>This is the unit of measure for the visitation frequency data, calculated as the number of visits over the number of flowers over time</t>
        </r>
      </text>
    </comment>
    <comment ref="K5" authorId="0" shapeId="0" xr:uid="{00000000-0006-0000-0300-000006000000}">
      <text>
        <r>
          <rPr>
            <b/>
            <sz val="14"/>
            <color indexed="81"/>
            <rFont val="Calibri"/>
            <family val="2"/>
          </rPr>
          <t>Microsoft Office User:</t>
        </r>
        <r>
          <rPr>
            <sz val="14"/>
            <color indexed="81"/>
            <rFont val="Calibri"/>
            <family val="2"/>
          </rPr>
          <t xml:space="preserve">
if the maximum yield at each distance is different and it is known, it will give more accurate estimate</t>
        </r>
      </text>
    </comment>
    <comment ref="L5" authorId="0" shapeId="0" xr:uid="{00000000-0006-0000-0300-000007000000}">
      <text>
        <r>
          <rPr>
            <b/>
            <sz val="14"/>
            <color indexed="81"/>
            <rFont val="Calibri"/>
            <family val="2"/>
          </rPr>
          <t>Microsoft Office User:</t>
        </r>
        <r>
          <rPr>
            <sz val="14"/>
            <color indexed="81"/>
            <rFont val="Calibri"/>
            <family val="2"/>
          </rPr>
          <t xml:space="preserve">
You can find this in lookup table 1</t>
        </r>
      </text>
    </comment>
    <comment ref="M5" authorId="0" shapeId="0" xr:uid="{00000000-0006-0000-0300-000008000000}">
      <text>
        <r>
          <rPr>
            <b/>
            <sz val="14"/>
            <color indexed="81"/>
            <rFont val="Calibri"/>
            <family val="2"/>
          </rPr>
          <t>Microsoft Office User:</t>
        </r>
        <r>
          <rPr>
            <sz val="14"/>
            <color indexed="81"/>
            <rFont val="Calibri"/>
            <family val="2"/>
          </rPr>
          <t xml:space="preserve">
Multiply the maximum yield by the dependency ratio of your plant of interest
This will give you the proportion of the yile that is attributable to pollination</t>
        </r>
      </text>
    </comment>
    <comment ref="N5" authorId="0" shapeId="0" xr:uid="{00000000-0006-0000-0300-000009000000}">
      <text>
        <r>
          <rPr>
            <b/>
            <sz val="14"/>
            <color indexed="81"/>
            <rFont val="Calibri"/>
            <family val="2"/>
          </rPr>
          <t>Microsoft Office User:</t>
        </r>
        <r>
          <rPr>
            <sz val="14"/>
            <color indexed="81"/>
            <rFont val="Calibri"/>
            <family val="2"/>
          </rPr>
          <t xml:space="preserve">
Local or national price of crop  per kg or per tonne</t>
        </r>
      </text>
    </comment>
    <comment ref="O5" authorId="0" shapeId="0" xr:uid="{00000000-0006-0000-0300-00000A000000}">
      <text>
        <r>
          <rPr>
            <b/>
            <sz val="14"/>
            <color indexed="81"/>
            <rFont val="Calibri"/>
            <family val="2"/>
          </rPr>
          <t>Microsoft Office User:</t>
        </r>
        <r>
          <rPr>
            <sz val="14"/>
            <color indexed="81"/>
            <rFont val="Calibri"/>
            <family val="2"/>
          </rPr>
          <t xml:space="preserve">
Value of pollination per m2 or per ha</t>
        </r>
      </text>
    </comment>
    <comment ref="P5" authorId="0" shapeId="0" xr:uid="{00000000-0006-0000-0300-00000B000000}">
      <text>
        <r>
          <rPr>
            <b/>
            <sz val="14"/>
            <color indexed="81"/>
            <rFont val="Calibri"/>
            <family val="2"/>
          </rPr>
          <t>Microsoft Office User:</t>
        </r>
        <r>
          <rPr>
            <sz val="14"/>
            <color indexed="81"/>
            <rFont val="Calibri"/>
            <family val="2"/>
          </rPr>
          <t xml:space="preserve">
This is done to exclude the baseline pollination service that is the pollination provided by those pollinators, which persist fine in the agricultural matrix.</t>
        </r>
      </text>
    </comment>
    <comment ref="R5" authorId="1" shapeId="0" xr:uid="{00000000-0006-0000-0300-00000C000000}">
      <text>
        <r>
          <rPr>
            <b/>
            <sz val="9"/>
            <color indexed="81"/>
            <rFont val="Tahoma"/>
            <family val="2"/>
          </rPr>
          <t>Ratto F.:</t>
        </r>
        <r>
          <rPr>
            <sz val="9"/>
            <color indexed="81"/>
            <rFont val="Tahoma"/>
            <family val="2"/>
          </rPr>
          <t xml:space="preserve">
</t>
        </r>
        <r>
          <rPr>
            <sz val="12"/>
            <color indexed="81"/>
            <rFont val="Tahoma"/>
            <family val="2"/>
          </rPr>
          <t>This value is obtained by multiplying the value of crop per square meter by the total area of crop within the 1km buffer area</t>
        </r>
      </text>
    </comment>
    <comment ref="O10" authorId="2" shapeId="0" xr:uid="{00000000-0006-0000-0300-00000D000000}">
      <text>
        <r>
          <rPr>
            <b/>
            <sz val="14"/>
            <color indexed="81"/>
            <rFont val="Calibri"/>
            <family val="2"/>
          </rPr>
          <t>Fabrizia Ratto:</t>
        </r>
        <r>
          <rPr>
            <sz val="14"/>
            <color indexed="81"/>
            <rFont val="Calibri"/>
            <family val="2"/>
          </rPr>
          <t xml:space="preserve">
Use the formula in the graph to calculate the value at 1km. The formula is already embedded but you need to change the values a the start (0m in blue) and the decay rate (in red) to match the actual values.
X is = 1000 (m)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Fabrizia Ratto</author>
  </authors>
  <commentList>
    <comment ref="A6" authorId="0" shapeId="0" xr:uid="{00000000-0006-0000-0400-000001000000}">
      <text>
        <r>
          <rPr>
            <b/>
            <sz val="12"/>
            <color indexed="81"/>
            <rFont val="Calibri"/>
            <family val="2"/>
          </rPr>
          <t>Microsoft Office User:</t>
        </r>
        <r>
          <rPr>
            <sz val="12"/>
            <color indexed="81"/>
            <rFont val="Calibri"/>
            <family val="2"/>
          </rPr>
          <t xml:space="preserve">
</t>
        </r>
        <r>
          <rPr>
            <sz val="12"/>
            <color indexed="81"/>
            <rFont val="Tahoma"/>
            <family val="2"/>
          </rPr>
          <t>Buffer area in which you collected the data</t>
        </r>
      </text>
    </comment>
    <comment ref="B6" authorId="0" shapeId="0" xr:uid="{00000000-0006-0000-0400-000002000000}">
      <text>
        <r>
          <rPr>
            <b/>
            <sz val="12"/>
            <color indexed="81"/>
            <rFont val="Calibri"/>
            <family val="2"/>
          </rPr>
          <t>Microsoft Office User:</t>
        </r>
        <r>
          <rPr>
            <sz val="12"/>
            <color indexed="81"/>
            <rFont val="Calibri"/>
            <family val="2"/>
          </rPr>
          <t xml:space="preserve">
</t>
        </r>
        <r>
          <rPr>
            <sz val="12"/>
            <color indexed="81"/>
            <rFont val="Tahoma"/>
            <family val="2"/>
          </rPr>
          <t>Code of bagged plant</t>
        </r>
      </text>
    </comment>
    <comment ref="C6" authorId="0" shapeId="0" xr:uid="{00000000-0006-0000-0400-000003000000}">
      <text>
        <r>
          <rPr>
            <b/>
            <sz val="12"/>
            <color indexed="81"/>
            <rFont val="Tahoma"/>
            <family val="2"/>
          </rPr>
          <t>Microsoft Office User:</t>
        </r>
        <r>
          <rPr>
            <sz val="12"/>
            <color indexed="81"/>
            <rFont val="Tahoma"/>
            <family val="2"/>
          </rPr>
          <t xml:space="preserve">
This will be a measure of yield appropriate to the crop/wild good investigated
</t>
        </r>
      </text>
    </comment>
    <comment ref="E6" authorId="0" shapeId="0" xr:uid="{00000000-0006-0000-0400-000004000000}">
      <text>
        <r>
          <rPr>
            <b/>
            <sz val="12"/>
            <color indexed="81"/>
            <rFont val="Tahoma"/>
            <family val="2"/>
          </rPr>
          <t>Microsoft Office User:</t>
        </r>
        <r>
          <rPr>
            <sz val="12"/>
            <color indexed="81"/>
            <rFont val="Tahoma"/>
            <family val="2"/>
          </rPr>
          <t xml:space="preserve">
Dependency ratio: proportion of yield that is due to pollination</t>
        </r>
      </text>
    </comment>
    <comment ref="F6" authorId="1" shapeId="0" xr:uid="{00000000-0006-0000-0400-000005000000}">
      <text>
        <r>
          <rPr>
            <b/>
            <sz val="14"/>
            <color indexed="81"/>
            <rFont val="Calibri"/>
            <family val="2"/>
          </rPr>
          <t>Fabrizia Ratto:</t>
        </r>
        <r>
          <rPr>
            <sz val="14"/>
            <color indexed="81"/>
            <rFont val="Calibri"/>
            <family val="2"/>
          </rPr>
          <t xml:space="preserve">
Distance from the site boundaries
</t>
        </r>
      </text>
    </comment>
    <comment ref="I6" authorId="1" shapeId="0" xr:uid="{00000000-0006-0000-0400-000006000000}">
      <text>
        <r>
          <rPr>
            <b/>
            <sz val="14"/>
            <color indexed="81"/>
            <rFont val="Calibri"/>
            <family val="2"/>
          </rPr>
          <t>Fabrizia Ratto:</t>
        </r>
        <r>
          <rPr>
            <sz val="14"/>
            <color indexed="81"/>
            <rFont val="Calibri"/>
            <family val="2"/>
          </rPr>
          <t xml:space="preserve">
Mean DR at each buffer zone</t>
        </r>
      </text>
    </comment>
    <comment ref="J6" authorId="1" shapeId="0" xr:uid="{00000000-0006-0000-0400-000007000000}">
      <text>
        <r>
          <rPr>
            <b/>
            <sz val="14"/>
            <color indexed="81"/>
            <rFont val="Calibri"/>
            <family val="2"/>
          </rPr>
          <t>Fabrizia Ratto:</t>
        </r>
        <r>
          <rPr>
            <sz val="14"/>
            <color indexed="81"/>
            <rFont val="Calibri"/>
            <family val="2"/>
          </rPr>
          <t xml:space="preserve">
This is done to exclude the baseline pollination service that is the pollination provided by those pollinators, which persist fine in the agricultural matrix.</t>
        </r>
      </text>
    </comment>
    <comment ref="N6" authorId="0" shapeId="0" xr:uid="{00000000-0006-0000-0400-000008000000}">
      <text>
        <r>
          <rPr>
            <b/>
            <sz val="14"/>
            <color indexed="81"/>
            <rFont val="Calibri"/>
            <family val="2"/>
          </rPr>
          <t>Microsoft Office User:</t>
        </r>
        <r>
          <rPr>
            <sz val="14"/>
            <color indexed="81"/>
            <rFont val="Calibri"/>
            <family val="2"/>
          </rPr>
          <t xml:space="preserve">
Local or national price of crop  per kg or per tonne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Fabrizia Ratto</author>
  </authors>
  <commentList>
    <comment ref="A5" authorId="0" shapeId="0" xr:uid="{00000000-0006-0000-0500-000001000000}">
      <text>
        <r>
          <rPr>
            <b/>
            <sz val="12"/>
            <color indexed="81"/>
            <rFont val="Calibri"/>
            <family val="2"/>
          </rPr>
          <t>Microsoft Office User:</t>
        </r>
        <r>
          <rPr>
            <sz val="12"/>
            <color indexed="81"/>
            <rFont val="Calibri"/>
            <family val="2"/>
          </rPr>
          <t xml:space="preserve">
</t>
        </r>
        <r>
          <rPr>
            <sz val="12"/>
            <color indexed="81"/>
            <rFont val="Tahoma"/>
            <family val="2"/>
          </rPr>
          <t>Buffer area in which you collected the data</t>
        </r>
      </text>
    </comment>
    <comment ref="B5" authorId="0" shapeId="0" xr:uid="{00000000-0006-0000-0500-000002000000}">
      <text>
        <r>
          <rPr>
            <b/>
            <sz val="12"/>
            <color indexed="81"/>
            <rFont val="Calibri"/>
            <family val="2"/>
          </rPr>
          <t>Microsoft Office User:</t>
        </r>
        <r>
          <rPr>
            <sz val="12"/>
            <color indexed="81"/>
            <rFont val="Calibri"/>
            <family val="2"/>
          </rPr>
          <t xml:space="preserve">
</t>
        </r>
        <r>
          <rPr>
            <sz val="12"/>
            <color indexed="81"/>
            <rFont val="Tahoma"/>
            <family val="2"/>
          </rPr>
          <t>Code of bagged plant</t>
        </r>
      </text>
    </comment>
    <comment ref="C5" authorId="0" shapeId="0" xr:uid="{00000000-0006-0000-0500-000003000000}">
      <text>
        <r>
          <rPr>
            <b/>
            <sz val="12"/>
            <color indexed="81"/>
            <rFont val="Tahoma"/>
            <family val="2"/>
          </rPr>
          <t>Microsoft Office User:</t>
        </r>
        <r>
          <rPr>
            <sz val="12"/>
            <color indexed="81"/>
            <rFont val="Tahoma"/>
            <family val="2"/>
          </rPr>
          <t xml:space="preserve">
This will be a measure of yield appropriate to the crop/wild good investigated
</t>
        </r>
      </text>
    </comment>
    <comment ref="E5" authorId="0" shapeId="0" xr:uid="{00000000-0006-0000-0500-000004000000}">
      <text>
        <r>
          <rPr>
            <b/>
            <sz val="12"/>
            <color indexed="81"/>
            <rFont val="Tahoma"/>
            <family val="2"/>
          </rPr>
          <t>Microsoft Office User:</t>
        </r>
        <r>
          <rPr>
            <sz val="12"/>
            <color indexed="81"/>
            <rFont val="Tahoma"/>
            <family val="2"/>
          </rPr>
          <t xml:space="preserve">
Dependency ratio: proportion of yield that is due to pollination</t>
        </r>
      </text>
    </comment>
    <comment ref="F5" authorId="1" shapeId="0" xr:uid="{00000000-0006-0000-0500-000005000000}">
      <text>
        <r>
          <rPr>
            <b/>
            <sz val="14"/>
            <color indexed="81"/>
            <rFont val="Calibri"/>
            <family val="2"/>
          </rPr>
          <t>Fabrizia Ratto:</t>
        </r>
        <r>
          <rPr>
            <sz val="14"/>
            <color indexed="81"/>
            <rFont val="Calibri"/>
            <family val="2"/>
          </rPr>
          <t xml:space="preserve">
Distance from the site boundaries
</t>
        </r>
      </text>
    </comment>
    <comment ref="I5" authorId="1" shapeId="0" xr:uid="{00000000-0006-0000-0500-000006000000}">
      <text>
        <r>
          <rPr>
            <b/>
            <sz val="14"/>
            <color indexed="81"/>
            <rFont val="Calibri"/>
            <family val="2"/>
          </rPr>
          <t>Fabrizia Ratto:</t>
        </r>
        <r>
          <rPr>
            <sz val="14"/>
            <color indexed="81"/>
            <rFont val="Calibri"/>
            <family val="2"/>
          </rPr>
          <t xml:space="preserve">
Mean DR at each buffer zone</t>
        </r>
      </text>
    </comment>
    <comment ref="J5" authorId="1" shapeId="0" xr:uid="{00000000-0006-0000-0500-000007000000}">
      <text>
        <r>
          <rPr>
            <b/>
            <sz val="14"/>
            <color indexed="81"/>
            <rFont val="Calibri"/>
            <family val="2"/>
          </rPr>
          <t>Fabrizia Ratto:</t>
        </r>
        <r>
          <rPr>
            <sz val="14"/>
            <color indexed="81"/>
            <rFont val="Calibri"/>
            <family val="2"/>
          </rPr>
          <t xml:space="preserve">
This is done to exclude the baseline pollination service that is the pollination provided by those pollinators, which persist fine in the agricultural matrix.</t>
        </r>
      </text>
    </comment>
    <comment ref="N5" authorId="0" shapeId="0" xr:uid="{00000000-0006-0000-0500-000008000000}">
      <text>
        <r>
          <rPr>
            <b/>
            <sz val="14"/>
            <color indexed="81"/>
            <rFont val="Calibri"/>
            <family val="2"/>
          </rPr>
          <t>Microsoft Office User:</t>
        </r>
        <r>
          <rPr>
            <sz val="14"/>
            <color indexed="81"/>
            <rFont val="Calibri"/>
            <family val="2"/>
          </rPr>
          <t xml:space="preserve">
Local or national price of crop  per kg or per tonne</t>
        </r>
      </text>
    </comment>
  </commentList>
</comments>
</file>

<file path=xl/sharedStrings.xml><?xml version="1.0" encoding="utf-8"?>
<sst xmlns="http://schemas.openxmlformats.org/spreadsheetml/2006/main" count="346" uniqueCount="178">
  <si>
    <t>Plot</t>
  </si>
  <si>
    <t>close</t>
  </si>
  <si>
    <t>medium distance</t>
  </si>
  <si>
    <t xml:space="preserve">far </t>
  </si>
  <si>
    <t>Location</t>
  </si>
  <si>
    <t>Dependency ratio (DR)</t>
  </si>
  <si>
    <t>Mean Visitation Frequency</t>
  </si>
  <si>
    <t>Distance</t>
  </si>
  <si>
    <t>C1</t>
  </si>
  <si>
    <t>C2</t>
  </si>
  <si>
    <t>C3</t>
  </si>
  <si>
    <t>C4</t>
  </si>
  <si>
    <t>C5</t>
  </si>
  <si>
    <t>C6</t>
  </si>
  <si>
    <t>C7</t>
  </si>
  <si>
    <t>C8</t>
  </si>
  <si>
    <t>C9</t>
  </si>
  <si>
    <t>M1</t>
  </si>
  <si>
    <t>M2</t>
  </si>
  <si>
    <t>M3</t>
  </si>
  <si>
    <t>M4</t>
  </si>
  <si>
    <t>M5</t>
  </si>
  <si>
    <t>M6</t>
  </si>
  <si>
    <t>M7</t>
  </si>
  <si>
    <t>M8</t>
  </si>
  <si>
    <t>M9</t>
  </si>
  <si>
    <t>F1</t>
  </si>
  <si>
    <t>F2</t>
  </si>
  <si>
    <t>F3</t>
  </si>
  <si>
    <t>F4</t>
  </si>
  <si>
    <t>F5</t>
  </si>
  <si>
    <t>F6</t>
  </si>
  <si>
    <t>F7</t>
  </si>
  <si>
    <t>F8</t>
  </si>
  <si>
    <t>F9</t>
  </si>
  <si>
    <t>Adjusted values</t>
  </si>
  <si>
    <t>PA1</t>
  </si>
  <si>
    <t>PA2</t>
  </si>
  <si>
    <t>PA3</t>
  </si>
  <si>
    <t>PA4</t>
  </si>
  <si>
    <t>PA5</t>
  </si>
  <si>
    <t>PA6</t>
  </si>
  <si>
    <t>PA7</t>
  </si>
  <si>
    <t>PA8</t>
  </si>
  <si>
    <t>PA9</t>
  </si>
  <si>
    <t>Inside the Protected Area</t>
  </si>
  <si>
    <t>The below calculations have to be repeated for each of  the identified top five crops</t>
  </si>
  <si>
    <t>Sampling location</t>
  </si>
  <si>
    <t>Average Distance</t>
  </si>
  <si>
    <t>Flower unit</t>
  </si>
  <si>
    <t>C10</t>
  </si>
  <si>
    <t>C11</t>
  </si>
  <si>
    <t>C12</t>
  </si>
  <si>
    <t>C13</t>
  </si>
  <si>
    <t>C14</t>
  </si>
  <si>
    <t>C15</t>
  </si>
  <si>
    <t>M10</t>
  </si>
  <si>
    <t>M11</t>
  </si>
  <si>
    <t>M12</t>
  </si>
  <si>
    <t>M13</t>
  </si>
  <si>
    <t>M14</t>
  </si>
  <si>
    <t>M15</t>
  </si>
  <si>
    <t>F10</t>
  </si>
  <si>
    <t>F11</t>
  </si>
  <si>
    <t>F12</t>
  </si>
  <si>
    <t>F13</t>
  </si>
  <si>
    <t>F14</t>
  </si>
  <si>
    <t>F15</t>
  </si>
  <si>
    <t>PA10</t>
  </si>
  <si>
    <t>PA11</t>
  </si>
  <si>
    <t>PA12</t>
  </si>
  <si>
    <t>PA13</t>
  </si>
  <si>
    <t>PA14</t>
  </si>
  <si>
    <t>DR</t>
  </si>
  <si>
    <t>PA15</t>
  </si>
  <si>
    <t>Mean DR</t>
  </si>
  <si>
    <t>Inside the site</t>
  </si>
  <si>
    <t>Average distance</t>
  </si>
  <si>
    <t>Adjusted values of DR</t>
  </si>
  <si>
    <t xml:space="preserve">yield bagged </t>
  </si>
  <si>
    <t>yield Control</t>
  </si>
  <si>
    <t>Final DR</t>
  </si>
  <si>
    <t>APA1</t>
  </si>
  <si>
    <t>APA2</t>
  </si>
  <si>
    <t>APA3</t>
  </si>
  <si>
    <t>APA4</t>
  </si>
  <si>
    <t>APA5</t>
  </si>
  <si>
    <t>APA6</t>
  </si>
  <si>
    <t>APA7</t>
  </si>
  <si>
    <t>APA8</t>
  </si>
  <si>
    <t>APA9</t>
  </si>
  <si>
    <t>APA10</t>
  </si>
  <si>
    <t>APA11</t>
  </si>
  <si>
    <t>APA12</t>
  </si>
  <si>
    <t>APA13</t>
  </si>
  <si>
    <t>APA14</t>
  </si>
  <si>
    <t>APA15</t>
  </si>
  <si>
    <t>AC1</t>
  </si>
  <si>
    <t>AC2</t>
  </si>
  <si>
    <t>AC3</t>
  </si>
  <si>
    <t>AC4</t>
  </si>
  <si>
    <t>AC5</t>
  </si>
  <si>
    <t>AC6</t>
  </si>
  <si>
    <t>AC7</t>
  </si>
  <si>
    <t>AC8</t>
  </si>
  <si>
    <t>AC9</t>
  </si>
  <si>
    <t>AC10</t>
  </si>
  <si>
    <t>AC11</t>
  </si>
  <si>
    <t>AC12</t>
  </si>
  <si>
    <t>AC13</t>
  </si>
  <si>
    <t>AC14</t>
  </si>
  <si>
    <t>AC15</t>
  </si>
  <si>
    <t>AM1</t>
  </si>
  <si>
    <t>AM2</t>
  </si>
  <si>
    <t>AM3</t>
  </si>
  <si>
    <t>AM4</t>
  </si>
  <si>
    <t>AM5</t>
  </si>
  <si>
    <t>AM6</t>
  </si>
  <si>
    <t>AM7</t>
  </si>
  <si>
    <t>AM8</t>
  </si>
  <si>
    <t>AM9</t>
  </si>
  <si>
    <t>AM10</t>
  </si>
  <si>
    <t>AM11</t>
  </si>
  <si>
    <t>AM12</t>
  </si>
  <si>
    <t>AM13</t>
  </si>
  <si>
    <t>AM14</t>
  </si>
  <si>
    <t>AM15</t>
  </si>
  <si>
    <t>AF1</t>
  </si>
  <si>
    <t>AF2</t>
  </si>
  <si>
    <t>AF3</t>
  </si>
  <si>
    <t>AF4</t>
  </si>
  <si>
    <t>AF5</t>
  </si>
  <si>
    <t>AF6</t>
  </si>
  <si>
    <t>AF7</t>
  </si>
  <si>
    <t>AF8</t>
  </si>
  <si>
    <t>AF9</t>
  </si>
  <si>
    <t>AF10</t>
  </si>
  <si>
    <t>AF11</t>
  </si>
  <si>
    <t>AF12</t>
  </si>
  <si>
    <t>AF13</t>
  </si>
  <si>
    <t>AF14</t>
  </si>
  <si>
    <t>AF15</t>
  </si>
  <si>
    <t>Close</t>
  </si>
  <si>
    <t>Medium</t>
  </si>
  <si>
    <t>Far</t>
  </si>
  <si>
    <t>Edge of buffer</t>
  </si>
  <si>
    <t>Calculations to estimate the economic value of pollination services for the alternative state site and a 1 km buffer from its boundaries</t>
  </si>
  <si>
    <t>Calculations to estimate the economic value of pollination services for the assessment site and a 1 km buffer from the site boundaries</t>
  </si>
  <si>
    <t>Calculations to estimate the economic value of pollination services provided by the alternative state site to a 1 km buffer from its boundaries</t>
  </si>
  <si>
    <t>Calculations to estimate the economic value of pollination services for the alternative state site and a 1 km buffer from the site boundaries</t>
  </si>
  <si>
    <t>Distance (m)</t>
  </si>
  <si>
    <t>No. visit/flower/min</t>
  </si>
  <si>
    <r>
      <t>Price of crop (</t>
    </r>
    <r>
      <rPr>
        <b/>
        <sz val="12"/>
        <rFont val="Calibri"/>
        <family val="2"/>
        <scheme val="minor"/>
      </rPr>
      <t>£ tonne</t>
    </r>
    <r>
      <rPr>
        <b/>
        <vertAlign val="superscript"/>
        <sz val="12"/>
        <rFont val="Calibri"/>
        <family val="2"/>
        <scheme val="minor"/>
      </rPr>
      <t>-1</t>
    </r>
    <r>
      <rPr>
        <b/>
        <sz val="12"/>
        <rFont val="Calibri"/>
        <family val="2"/>
        <scheme val="minor"/>
      </rPr>
      <t>)</t>
    </r>
  </si>
  <si>
    <r>
      <t>Value of pollination for crop A (£ year</t>
    </r>
    <r>
      <rPr>
        <b/>
        <vertAlign val="superscript"/>
        <sz val="12"/>
        <rFont val="Calibri"/>
        <family val="2"/>
        <scheme val="minor"/>
      </rPr>
      <t>-1</t>
    </r>
    <r>
      <rPr>
        <b/>
        <sz val="12"/>
        <rFont val="Calibri"/>
        <family val="2"/>
        <scheme val="minor"/>
      </rPr>
      <t>)</t>
    </r>
  </si>
  <si>
    <r>
      <t>Total area of crop A (ha</t>
    </r>
    <r>
      <rPr>
        <b/>
        <sz val="12"/>
        <rFont val="Calibri"/>
        <family val="2"/>
        <scheme val="minor"/>
      </rPr>
      <t>)</t>
    </r>
  </si>
  <si>
    <t xml:space="preserve">Yield bagged </t>
  </si>
  <si>
    <t>Yield Control</t>
  </si>
  <si>
    <t>Medium distance</t>
  </si>
  <si>
    <t xml:space="preserve">Far </t>
  </si>
  <si>
    <r>
      <t>Maximum annual yield (tonnes ha</t>
    </r>
    <r>
      <rPr>
        <b/>
        <vertAlign val="superscript"/>
        <sz val="12"/>
        <rFont val="Calibri"/>
        <family val="2"/>
        <scheme val="minor"/>
      </rPr>
      <t>-1</t>
    </r>
    <r>
      <rPr>
        <b/>
        <sz val="12"/>
        <rFont val="Calibri"/>
        <family val="2"/>
        <scheme val="minor"/>
      </rPr>
      <t xml:space="preserve"> year</t>
    </r>
    <r>
      <rPr>
        <b/>
        <vertAlign val="superscript"/>
        <sz val="12"/>
        <rFont val="Calibri"/>
        <family val="2"/>
        <scheme val="minor"/>
      </rPr>
      <t>-1</t>
    </r>
    <r>
      <rPr>
        <b/>
        <sz val="12"/>
        <rFont val="Calibri"/>
        <family val="2"/>
        <scheme val="minor"/>
      </rPr>
      <t>)</t>
    </r>
  </si>
  <si>
    <r>
      <t>Maximum annual yield (tonnes ha</t>
    </r>
    <r>
      <rPr>
        <b/>
        <vertAlign val="superscript"/>
        <sz val="12"/>
        <rFont val="Calibri"/>
        <family val="2"/>
        <scheme val="minor"/>
      </rPr>
      <t xml:space="preserve">-1 </t>
    </r>
    <r>
      <rPr>
        <b/>
        <sz val="12"/>
        <rFont val="Calibri"/>
        <family val="2"/>
        <scheme val="minor"/>
      </rPr>
      <t>year</t>
    </r>
    <r>
      <rPr>
        <b/>
        <vertAlign val="superscript"/>
        <sz val="12"/>
        <rFont val="Calibri"/>
        <family val="2"/>
        <scheme val="minor"/>
      </rPr>
      <t>-1</t>
    </r>
    <r>
      <rPr>
        <b/>
        <sz val="12"/>
        <rFont val="Calibri"/>
        <family val="2"/>
        <scheme val="minor"/>
      </rPr>
      <t>)</t>
    </r>
  </si>
  <si>
    <t>No. flower heads</t>
  </si>
  <si>
    <t>No. of visitors</t>
  </si>
  <si>
    <r>
      <t>Maximum annual yield due to pollination (tonne ha</t>
    </r>
    <r>
      <rPr>
        <b/>
        <vertAlign val="superscript"/>
        <sz val="12"/>
        <rFont val="Calibri"/>
        <family val="2"/>
        <scheme val="minor"/>
      </rPr>
      <t>-1</t>
    </r>
    <r>
      <rPr>
        <b/>
        <sz val="12"/>
        <rFont val="Calibri"/>
        <family val="2"/>
        <scheme val="minor"/>
      </rPr>
      <t xml:space="preserve"> year</t>
    </r>
    <r>
      <rPr>
        <b/>
        <vertAlign val="superscript"/>
        <sz val="12"/>
        <rFont val="Calibri"/>
        <family val="2"/>
        <scheme val="minor"/>
      </rPr>
      <t>-1</t>
    </r>
    <r>
      <rPr>
        <b/>
        <sz val="12"/>
        <rFont val="Calibri"/>
        <family val="2"/>
        <scheme val="minor"/>
      </rPr>
      <t>)</t>
    </r>
  </si>
  <si>
    <r>
      <t>Price of crop (£ tonne</t>
    </r>
    <r>
      <rPr>
        <b/>
        <vertAlign val="superscript"/>
        <sz val="12"/>
        <rFont val="Calibri"/>
        <family val="2"/>
        <scheme val="minor"/>
      </rPr>
      <t>-1</t>
    </r>
    <r>
      <rPr>
        <b/>
        <sz val="12"/>
        <rFont val="Calibri"/>
        <family val="2"/>
        <scheme val="minor"/>
      </rPr>
      <t>)</t>
    </r>
  </si>
  <si>
    <r>
      <t>Value of pollination for crop A (£ ha</t>
    </r>
    <r>
      <rPr>
        <b/>
        <vertAlign val="superscript"/>
        <sz val="12"/>
        <rFont val="Calibri"/>
        <family val="2"/>
        <scheme val="minor"/>
      </rPr>
      <t>-1</t>
    </r>
    <r>
      <rPr>
        <b/>
        <sz val="12"/>
        <rFont val="Calibri"/>
        <family val="2"/>
        <scheme val="minor"/>
      </rPr>
      <t xml:space="preserve"> year</t>
    </r>
    <r>
      <rPr>
        <b/>
        <vertAlign val="superscript"/>
        <sz val="12"/>
        <rFont val="Calibri"/>
        <family val="2"/>
        <scheme val="minor"/>
      </rPr>
      <t>-1</t>
    </r>
    <r>
      <rPr>
        <b/>
        <sz val="12"/>
        <rFont val="Calibri"/>
        <family val="2"/>
        <scheme val="minor"/>
      </rPr>
      <t>)</t>
    </r>
  </si>
  <si>
    <r>
      <t>Average £ ha</t>
    </r>
    <r>
      <rPr>
        <b/>
        <vertAlign val="superscript"/>
        <sz val="12"/>
        <rFont val="Calibri"/>
        <family val="2"/>
        <scheme val="minor"/>
      </rPr>
      <t>-1</t>
    </r>
  </si>
  <si>
    <r>
      <t>£ ha</t>
    </r>
    <r>
      <rPr>
        <b/>
        <vertAlign val="superscript"/>
        <sz val="12"/>
        <rFont val="Calibri"/>
        <family val="2"/>
        <scheme val="minor"/>
      </rPr>
      <t>-1</t>
    </r>
  </si>
  <si>
    <t>Total area of crop A (ha)</t>
  </si>
  <si>
    <r>
      <t>Value of pollination for crop A (tonnes year</t>
    </r>
    <r>
      <rPr>
        <b/>
        <vertAlign val="superscript"/>
        <sz val="12"/>
        <rFont val="Calibri"/>
        <family val="2"/>
        <scheme val="minor"/>
      </rPr>
      <t>-1</t>
    </r>
    <r>
      <rPr>
        <b/>
        <sz val="12"/>
        <rFont val="Calibri"/>
        <family val="2"/>
        <scheme val="minor"/>
      </rPr>
      <t>)</t>
    </r>
  </si>
  <si>
    <r>
      <t>Maximum annual yield due to pollination (tonnes ha</t>
    </r>
    <r>
      <rPr>
        <b/>
        <vertAlign val="superscript"/>
        <sz val="12"/>
        <rFont val="Calibri"/>
        <family val="2"/>
        <scheme val="minor"/>
      </rPr>
      <t xml:space="preserve">-1 </t>
    </r>
    <r>
      <rPr>
        <b/>
        <sz val="12"/>
        <rFont val="Calibri"/>
        <family val="2"/>
        <scheme val="minor"/>
      </rPr>
      <t>year</t>
    </r>
    <r>
      <rPr>
        <b/>
        <vertAlign val="superscript"/>
        <sz val="12"/>
        <rFont val="Calibri"/>
        <family val="2"/>
        <scheme val="minor"/>
      </rPr>
      <t>-1</t>
    </r>
    <r>
      <rPr>
        <b/>
        <sz val="12"/>
        <rFont val="Calibri"/>
        <family val="2"/>
        <scheme val="minor"/>
      </rPr>
      <t>)</t>
    </r>
  </si>
  <si>
    <r>
      <t>Maximum annual yield due to pollination (tonnes ha</t>
    </r>
    <r>
      <rPr>
        <b/>
        <vertAlign val="superscript"/>
        <sz val="12"/>
        <rFont val="Calibri"/>
        <family val="2"/>
        <scheme val="minor"/>
      </rPr>
      <t>-1</t>
    </r>
    <r>
      <rPr>
        <b/>
        <sz val="12"/>
        <rFont val="Calibri"/>
        <family val="2"/>
        <scheme val="minor"/>
      </rPr>
      <t xml:space="preserve"> year</t>
    </r>
    <r>
      <rPr>
        <b/>
        <vertAlign val="superscript"/>
        <sz val="12"/>
        <rFont val="Calibri"/>
        <family val="2"/>
        <scheme val="minor"/>
      </rPr>
      <t>-1</t>
    </r>
    <r>
      <rPr>
        <b/>
        <sz val="12"/>
        <rFont val="Calibri"/>
        <family val="2"/>
        <scheme val="minor"/>
      </rPr>
      <t>)</t>
    </r>
  </si>
  <si>
    <t>DESK-BASED METHOD - RED STANDARD</t>
  </si>
  <si>
    <t>DESK-BASED METHOD - RED STANDARD (ALTERNATIVE STATE)</t>
  </si>
  <si>
    <t>FIELD OBSERVATION SURVEY - AMBER STANDARD</t>
  </si>
  <si>
    <t>FIELD OBSERVATION SURVEY - AMBER STANDARD (ALTERNATIVE STATE)</t>
  </si>
  <si>
    <t>EMPIRICAL MANIPULATION USING EXCLUSION EXPERIMENTS - GREEN STANDARD</t>
  </si>
  <si>
    <t>EMPIRICAL MANIPULATION USING EXCLUSION EXPERIMENTS - GREEN STANDARD (ALTERNATIVE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</si>
</sst>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000"/>
  </numFmts>
  <fonts count="35" x14ac:knownFonts="1">
    <font>
      <sz val="12"/>
      <color theme="1"/>
      <name val="Calibri"/>
      <family val="2"/>
      <scheme val="minor"/>
    </font>
    <font>
      <b/>
      <sz val="12"/>
      <color theme="1"/>
      <name val="Calibri"/>
      <family val="2"/>
      <scheme val="minor"/>
    </font>
    <font>
      <sz val="12"/>
      <color theme="5" tint="-0.249977111117893"/>
      <name val="Calibri"/>
      <family val="2"/>
      <scheme val="minor"/>
    </font>
    <font>
      <sz val="12"/>
      <color theme="4" tint="-0.249977111117893"/>
      <name val="Calibri"/>
      <family val="2"/>
      <scheme val="minor"/>
    </font>
    <font>
      <sz val="9"/>
      <color indexed="81"/>
      <name val="Tahoma"/>
      <family val="2"/>
    </font>
    <font>
      <b/>
      <sz val="9"/>
      <color indexed="81"/>
      <name val="Tahoma"/>
      <family val="2"/>
    </font>
    <font>
      <sz val="12"/>
      <color indexed="81"/>
      <name val="Tahoma"/>
      <family val="2"/>
    </font>
    <font>
      <sz val="10"/>
      <color indexed="81"/>
      <name val="Calibri"/>
      <family val="2"/>
    </font>
    <font>
      <b/>
      <sz val="10"/>
      <color indexed="81"/>
      <name val="Calibri"/>
      <family val="2"/>
    </font>
    <font>
      <b/>
      <sz val="14"/>
      <color indexed="81"/>
      <name val="Calibri"/>
      <family val="2"/>
    </font>
    <font>
      <sz val="14"/>
      <color indexed="81"/>
      <name val="Calibri"/>
      <family val="2"/>
    </font>
    <font>
      <b/>
      <sz val="12"/>
      <color indexed="81"/>
      <name val="Calibri"/>
      <family val="2"/>
    </font>
    <font>
      <sz val="12"/>
      <color indexed="81"/>
      <name val="Calibri"/>
      <family val="2"/>
    </font>
    <font>
      <b/>
      <sz val="12"/>
      <color theme="5" tint="-0.249977111117893"/>
      <name val="Calibri"/>
      <family val="2"/>
      <scheme val="minor"/>
    </font>
    <font>
      <b/>
      <sz val="14"/>
      <color theme="5" tint="-0.249977111117893"/>
      <name val="Calibri"/>
      <family val="2"/>
      <scheme val="minor"/>
    </font>
    <font>
      <sz val="12"/>
      <color theme="9"/>
      <name val="Calibri"/>
      <family val="2"/>
      <scheme val="minor"/>
    </font>
    <font>
      <u/>
      <sz val="12"/>
      <color theme="10"/>
      <name val="Calibri"/>
      <family val="2"/>
      <scheme val="minor"/>
    </font>
    <font>
      <u/>
      <sz val="12"/>
      <color theme="11"/>
      <name val="Calibri"/>
      <family val="2"/>
      <scheme val="minor"/>
    </font>
    <font>
      <b/>
      <sz val="16"/>
      <color rgb="FFC00000"/>
      <name val="Calibri"/>
      <family val="2"/>
      <scheme val="minor"/>
    </font>
    <font>
      <sz val="16"/>
      <color rgb="FFC00000"/>
      <name val="Calibri"/>
      <family val="2"/>
      <scheme val="minor"/>
    </font>
    <font>
      <b/>
      <sz val="16"/>
      <name val="Calibri"/>
      <family val="2"/>
      <scheme val="minor"/>
    </font>
    <font>
      <sz val="16"/>
      <name val="Calibri"/>
      <family val="2"/>
      <scheme val="minor"/>
    </font>
    <font>
      <b/>
      <sz val="12"/>
      <name val="Calibri"/>
      <family val="2"/>
      <scheme val="minor"/>
    </font>
    <font>
      <sz val="12"/>
      <name val="Calibri"/>
      <family val="2"/>
      <scheme val="minor"/>
    </font>
    <font>
      <b/>
      <sz val="14"/>
      <name val="Calibri"/>
      <family val="2"/>
      <scheme val="minor"/>
    </font>
    <font>
      <b/>
      <sz val="12"/>
      <color indexed="81"/>
      <name val="Tahoma"/>
      <family val="2"/>
    </font>
    <font>
      <sz val="12"/>
      <color theme="4"/>
      <name val="Calibri"/>
      <family val="2"/>
      <scheme val="minor"/>
    </font>
    <font>
      <b/>
      <vertAlign val="superscript"/>
      <sz val="12"/>
      <name val="Calibri"/>
      <family val="2"/>
      <scheme val="minor"/>
    </font>
    <font>
      <b/>
      <sz val="12"/>
      <color rgb="FF000000"/>
      <name val="Calibri"/>
      <family val="2"/>
    </font>
    <font>
      <sz val="12"/>
      <color rgb="FF000000"/>
      <name val="Calibri"/>
      <family val="2"/>
    </font>
    <font>
      <sz val="12"/>
      <color rgb="FF000000"/>
      <name val="Tahoma"/>
      <family val="2"/>
    </font>
    <font>
      <b/>
      <sz val="9"/>
      <color rgb="FF000000"/>
      <name val="Tahoma"/>
      <family val="2"/>
    </font>
    <font>
      <sz val="9"/>
      <color rgb="FF000000"/>
      <name val="Tahoma"/>
      <family val="2"/>
    </font>
    <font>
      <b/>
      <sz val="14"/>
      <color rgb="FF000000"/>
      <name val="Calibri"/>
      <family val="2"/>
    </font>
    <font>
      <sz val="14"/>
      <color rgb="FF000000"/>
      <name val="Calibri"/>
      <family val="2"/>
    </font>
  </fonts>
  <fills count="6">
    <fill>
      <patternFill patternType="none"/>
    </fill>
    <fill>
      <patternFill patternType="gray125"/>
    </fill>
    <fill>
      <patternFill patternType="solid">
        <fgColor rgb="FFFFC000"/>
        <bgColor indexed="64"/>
      </patternFill>
    </fill>
    <fill>
      <patternFill patternType="solid">
        <fgColor rgb="FFFF8F8D"/>
        <bgColor indexed="64"/>
      </patternFill>
    </fill>
    <fill>
      <patternFill patternType="solid">
        <fgColor theme="9" tint="0.59999389629810485"/>
        <bgColor indexed="64"/>
      </patternFill>
    </fill>
    <fill>
      <patternFill patternType="solid">
        <fgColor theme="7"/>
        <bgColor indexed="64"/>
      </patternFill>
    </fill>
  </fills>
  <borders count="14">
    <border>
      <left/>
      <right/>
      <top/>
      <bottom/>
      <diagonal/>
    </border>
    <border>
      <left style="thin">
        <color theme="5" tint="-0.249977111117893"/>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13">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00">
    <xf numFmtId="0" fontId="0" fillId="0" borderId="0" xfId="0"/>
    <xf numFmtId="0" fontId="1" fillId="0" borderId="0" xfId="0" applyFont="1"/>
    <xf numFmtId="2" fontId="0" fillId="0" borderId="0" xfId="0" applyNumberFormat="1"/>
    <xf numFmtId="1" fontId="0" fillId="0" borderId="0" xfId="0" applyNumberFormat="1"/>
    <xf numFmtId="0" fontId="1" fillId="0" borderId="0" xfId="0" applyFont="1" applyAlignment="1">
      <alignment horizontal="center" vertical="center"/>
    </xf>
    <xf numFmtId="0" fontId="2" fillId="0" borderId="0" xfId="0" applyFont="1"/>
    <xf numFmtId="0" fontId="3" fillId="0" borderId="0" xfId="0" applyFont="1"/>
    <xf numFmtId="1" fontId="3" fillId="0" borderId="0" xfId="0" applyNumberFormat="1" applyFont="1"/>
    <xf numFmtId="2" fontId="3" fillId="0" borderId="0" xfId="0" applyNumberFormat="1" applyFont="1"/>
    <xf numFmtId="0" fontId="14" fillId="0" borderId="0" xfId="0" applyFont="1"/>
    <xf numFmtId="0" fontId="13" fillId="0" borderId="0" xfId="0" applyFont="1"/>
    <xf numFmtId="0" fontId="15" fillId="0" borderId="0" xfId="0" applyFont="1"/>
    <xf numFmtId="164" fontId="15" fillId="0" borderId="0" xfId="0" applyNumberFormat="1" applyFont="1" applyAlignment="1">
      <alignment horizontal="right"/>
    </xf>
    <xf numFmtId="2" fontId="15" fillId="0" borderId="0" xfId="0" applyNumberFormat="1" applyFont="1"/>
    <xf numFmtId="164" fontId="15" fillId="0" borderId="0" xfId="0" applyNumberFormat="1" applyFont="1"/>
    <xf numFmtId="165" fontId="15" fillId="0" borderId="0" xfId="0" applyNumberFormat="1" applyFont="1"/>
    <xf numFmtId="0" fontId="18" fillId="0" borderId="0" xfId="0" applyFont="1"/>
    <xf numFmtId="0" fontId="19" fillId="0" borderId="0" xfId="0" applyFont="1"/>
    <xf numFmtId="0" fontId="0" fillId="0" borderId="0" xfId="0" applyFill="1"/>
    <xf numFmtId="0" fontId="20" fillId="0" borderId="0" xfId="0" applyFont="1"/>
    <xf numFmtId="0" fontId="21" fillId="0" borderId="0" xfId="0" applyFont="1"/>
    <xf numFmtId="0" fontId="23" fillId="0" borderId="0" xfId="0" applyFont="1"/>
    <xf numFmtId="0" fontId="22" fillId="0" borderId="0" xfId="0" applyFont="1" applyAlignment="1">
      <alignment horizontal="center" vertical="center"/>
    </xf>
    <xf numFmtId="0" fontId="22" fillId="0" borderId="0" xfId="0" applyFont="1"/>
    <xf numFmtId="0" fontId="24" fillId="0" borderId="0" xfId="0" applyFont="1"/>
    <xf numFmtId="0" fontId="0" fillId="0" borderId="0" xfId="0" applyBorder="1"/>
    <xf numFmtId="166" fontId="3" fillId="0" borderId="0" xfId="0" applyNumberFormat="1" applyFont="1"/>
    <xf numFmtId="0" fontId="1" fillId="0" borderId="0" xfId="0" applyFont="1" applyAlignment="1">
      <alignment horizontal="center"/>
    </xf>
    <xf numFmtId="164" fontId="0" fillId="0" borderId="0" xfId="0" applyNumberFormat="1"/>
    <xf numFmtId="0" fontId="23" fillId="0" borderId="3" xfId="0" applyFont="1" applyFill="1" applyBorder="1" applyAlignment="1">
      <alignment horizontal="right"/>
    </xf>
    <xf numFmtId="0" fontId="23" fillId="0" borderId="4" xfId="0" applyFont="1" applyFill="1" applyBorder="1" applyAlignment="1">
      <alignment horizontal="right"/>
    </xf>
    <xf numFmtId="0" fontId="23" fillId="0" borderId="5" xfId="0" applyFont="1" applyFill="1" applyBorder="1" applyAlignment="1">
      <alignment horizontal="right"/>
    </xf>
    <xf numFmtId="0" fontId="1" fillId="0" borderId="0" xfId="0" applyFont="1" applyBorder="1" applyAlignment="1">
      <alignment horizontal="center" vertical="center"/>
    </xf>
    <xf numFmtId="0" fontId="3" fillId="0" borderId="0" xfId="0" applyFont="1" applyFill="1" applyBorder="1"/>
    <xf numFmtId="0" fontId="3" fillId="0" borderId="3" xfId="0" applyFont="1" applyFill="1" applyBorder="1" applyAlignment="1">
      <alignment horizontal="right"/>
    </xf>
    <xf numFmtId="0" fontId="3" fillId="0" borderId="4" xfId="0" applyFont="1" applyFill="1" applyBorder="1" applyAlignment="1">
      <alignment horizontal="right"/>
    </xf>
    <xf numFmtId="0" fontId="3" fillId="0" borderId="3" xfId="0" applyFont="1" applyFill="1" applyBorder="1"/>
    <xf numFmtId="0" fontId="3" fillId="0" borderId="4" xfId="0" applyFont="1" applyFill="1" applyBorder="1"/>
    <xf numFmtId="2" fontId="3" fillId="0" borderId="3" xfId="0" applyNumberFormat="1" applyFont="1" applyFill="1" applyBorder="1" applyAlignment="1">
      <alignment horizontal="right"/>
    </xf>
    <xf numFmtId="2" fontId="3" fillId="0" borderId="4" xfId="0" applyNumberFormat="1" applyFont="1" applyFill="1" applyBorder="1" applyAlignment="1">
      <alignment horizontal="right"/>
    </xf>
    <xf numFmtId="1" fontId="3" fillId="0" borderId="0" xfId="0" applyNumberFormat="1" applyFont="1" applyFill="1" applyBorder="1"/>
    <xf numFmtId="0" fontId="3" fillId="0" borderId="5" xfId="0" applyFont="1" applyFill="1" applyBorder="1"/>
    <xf numFmtId="0" fontId="3" fillId="0" borderId="8" xfId="0" applyFont="1" applyFill="1" applyBorder="1"/>
    <xf numFmtId="0" fontId="3" fillId="0" borderId="9" xfId="0" applyFont="1" applyFill="1" applyBorder="1"/>
    <xf numFmtId="0" fontId="3" fillId="0" borderId="10" xfId="0" applyFont="1" applyFill="1" applyBorder="1"/>
    <xf numFmtId="1" fontId="3" fillId="0" borderId="3" xfId="0" applyNumberFormat="1" applyFont="1" applyFill="1" applyBorder="1"/>
    <xf numFmtId="1" fontId="3" fillId="0" borderId="4" xfId="0" applyNumberFormat="1" applyFont="1" applyFill="1" applyBorder="1"/>
    <xf numFmtId="1" fontId="3" fillId="0" borderId="5" xfId="0" applyNumberFormat="1" applyFont="1" applyFill="1" applyBorder="1"/>
    <xf numFmtId="2" fontId="3" fillId="0" borderId="3" xfId="0" applyNumberFormat="1" applyFont="1" applyFill="1" applyBorder="1"/>
    <xf numFmtId="2" fontId="3" fillId="0" borderId="4" xfId="0" applyNumberFormat="1" applyFont="1" applyFill="1" applyBorder="1"/>
    <xf numFmtId="2" fontId="3" fillId="0" borderId="5" xfId="0" applyNumberFormat="1" applyFont="1" applyFill="1" applyBorder="1"/>
    <xf numFmtId="2" fontId="3" fillId="0" borderId="9" xfId="0" applyNumberFormat="1" applyFont="1" applyFill="1" applyBorder="1"/>
    <xf numFmtId="2" fontId="3" fillId="0" borderId="10" xfId="0" applyNumberFormat="1" applyFont="1" applyFill="1" applyBorder="1"/>
    <xf numFmtId="0" fontId="0" fillId="0" borderId="7" xfId="0" applyBorder="1"/>
    <xf numFmtId="1" fontId="0" fillId="0" borderId="7" xfId="0" applyNumberFormat="1" applyBorder="1"/>
    <xf numFmtId="0" fontId="22" fillId="3" borderId="2" xfId="0" applyFont="1" applyFill="1" applyBorder="1"/>
    <xf numFmtId="0" fontId="22" fillId="0" borderId="0" xfId="0" applyFont="1" applyFill="1" applyBorder="1" applyAlignment="1">
      <alignment horizontal="center" vertical="center"/>
    </xf>
    <xf numFmtId="0" fontId="22" fillId="2" borderId="2" xfId="0" applyFont="1" applyFill="1" applyBorder="1"/>
    <xf numFmtId="0" fontId="3" fillId="0" borderId="0" xfId="0" applyFont="1" applyFill="1" applyBorder="1" applyAlignment="1">
      <alignment horizontal="right"/>
    </xf>
    <xf numFmtId="1" fontId="3" fillId="0" borderId="0" xfId="0" applyNumberFormat="1" applyFont="1" applyAlignment="1">
      <alignment horizontal="right"/>
    </xf>
    <xf numFmtId="164" fontId="15" fillId="0" borderId="0" xfId="0" applyNumberFormat="1" applyFont="1" applyFill="1" applyBorder="1"/>
    <xf numFmtId="0" fontId="22" fillId="0" borderId="0" xfId="0" applyFont="1" applyFill="1" applyBorder="1" applyAlignment="1">
      <alignment horizontal="center"/>
    </xf>
    <xf numFmtId="2" fontId="15" fillId="0" borderId="0" xfId="0" applyNumberFormat="1" applyFont="1" applyBorder="1"/>
    <xf numFmtId="0" fontId="22" fillId="4" borderId="2" xfId="0" applyFont="1" applyFill="1" applyBorder="1" applyAlignment="1">
      <alignment horizontal="center"/>
    </xf>
    <xf numFmtId="0" fontId="1" fillId="4" borderId="2" xfId="0" applyFont="1" applyFill="1" applyBorder="1" applyAlignment="1">
      <alignment horizontal="center"/>
    </xf>
    <xf numFmtId="0" fontId="22" fillId="4" borderId="2" xfId="0" applyFont="1" applyFill="1" applyBorder="1"/>
    <xf numFmtId="0" fontId="26" fillId="0" borderId="3" xfId="0" applyFont="1" applyBorder="1"/>
    <xf numFmtId="0" fontId="26" fillId="0" borderId="4" xfId="0" applyFont="1" applyBorder="1"/>
    <xf numFmtId="0" fontId="26" fillId="0" borderId="5" xfId="0" applyFont="1" applyBorder="1"/>
    <xf numFmtId="2" fontId="15" fillId="0" borderId="3" xfId="0" applyNumberFormat="1" applyFont="1" applyBorder="1"/>
    <xf numFmtId="2" fontId="15" fillId="0" borderId="4" xfId="0" applyNumberFormat="1" applyFont="1" applyBorder="1"/>
    <xf numFmtId="2" fontId="15" fillId="0" borderId="5" xfId="0" applyNumberFormat="1" applyFont="1" applyBorder="1"/>
    <xf numFmtId="0" fontId="15" fillId="0" borderId="3" xfId="0" applyNumberFormat="1" applyFont="1" applyBorder="1"/>
    <xf numFmtId="0" fontId="15" fillId="0" borderId="4" xfId="0" applyNumberFormat="1" applyFont="1" applyBorder="1"/>
    <xf numFmtId="2" fontId="15" fillId="0" borderId="11" xfId="0" applyNumberFormat="1" applyFont="1" applyBorder="1"/>
    <xf numFmtId="2" fontId="15" fillId="0" borderId="12" xfId="0" applyNumberFormat="1" applyFont="1" applyBorder="1"/>
    <xf numFmtId="2" fontId="15" fillId="0" borderId="13" xfId="0" applyNumberFormat="1" applyFont="1" applyBorder="1"/>
    <xf numFmtId="1" fontId="15" fillId="0" borderId="3" xfId="0" applyNumberFormat="1" applyFont="1" applyFill="1" applyBorder="1"/>
    <xf numFmtId="1" fontId="15" fillId="0" borderId="4" xfId="0" applyNumberFormat="1" applyFont="1" applyFill="1" applyBorder="1"/>
    <xf numFmtId="1" fontId="15" fillId="0" borderId="5" xfId="0" applyNumberFormat="1" applyFont="1" applyFill="1" applyBorder="1"/>
    <xf numFmtId="1" fontId="26" fillId="0" borderId="0" xfId="0" applyNumberFormat="1" applyFont="1" applyBorder="1"/>
    <xf numFmtId="2" fontId="26" fillId="0" borderId="0" xfId="0" applyNumberFormat="1" applyFont="1"/>
    <xf numFmtId="0" fontId="22" fillId="2" borderId="3" xfId="0" applyFont="1" applyFill="1" applyBorder="1"/>
    <xf numFmtId="0" fontId="23" fillId="0" borderId="3" xfId="0" applyFont="1" applyFill="1" applyBorder="1" applyAlignment="1">
      <alignment horizontal="center" vertical="center"/>
    </xf>
    <xf numFmtId="0" fontId="23" fillId="0" borderId="4" xfId="0" applyFont="1" applyFill="1" applyBorder="1" applyAlignment="1">
      <alignment horizontal="center" vertical="center"/>
    </xf>
    <xf numFmtId="0" fontId="23" fillId="0" borderId="5" xfId="0" applyFont="1" applyFill="1" applyBorder="1" applyAlignment="1">
      <alignment horizontal="center" vertical="center"/>
    </xf>
    <xf numFmtId="0" fontId="23" fillId="0" borderId="8" xfId="0" applyFont="1" applyFill="1" applyBorder="1" applyAlignment="1">
      <alignment horizontal="right"/>
    </xf>
    <xf numFmtId="0" fontId="23" fillId="0" borderId="9" xfId="0" applyFont="1" applyFill="1" applyBorder="1" applyAlignment="1">
      <alignment horizontal="right"/>
    </xf>
    <xf numFmtId="0" fontId="23" fillId="0" borderId="10" xfId="0" applyFont="1" applyFill="1" applyBorder="1" applyAlignment="1">
      <alignment horizontal="right"/>
    </xf>
    <xf numFmtId="0" fontId="22" fillId="2" borderId="2" xfId="0" applyFont="1" applyFill="1" applyBorder="1" applyAlignment="1">
      <alignment horizontal="center"/>
    </xf>
    <xf numFmtId="0" fontId="22" fillId="5" borderId="0" xfId="0" applyFont="1" applyFill="1"/>
    <xf numFmtId="0" fontId="22" fillId="3" borderId="2" xfId="0" applyFont="1" applyFill="1" applyBorder="1" applyAlignment="1">
      <alignment horizontal="center"/>
    </xf>
    <xf numFmtId="0" fontId="0" fillId="0" borderId="0" xfId="0" applyAlignment="1">
      <alignment horizontal="center"/>
    </xf>
    <xf numFmtId="0" fontId="22" fillId="0" borderId="2" xfId="0" applyFont="1" applyFill="1" applyBorder="1" applyAlignment="1">
      <alignment horizontal="center" vertical="center" textRotation="90"/>
    </xf>
    <xf numFmtId="0" fontId="22" fillId="0" borderId="5" xfId="0" applyFont="1" applyFill="1" applyBorder="1" applyAlignment="1">
      <alignment horizontal="center" vertical="center" textRotation="90"/>
    </xf>
    <xf numFmtId="0" fontId="22" fillId="0" borderId="6" xfId="0" applyFont="1" applyFill="1" applyBorder="1" applyAlignment="1">
      <alignment horizontal="center" textRotation="90"/>
    </xf>
    <xf numFmtId="0" fontId="24" fillId="0" borderId="3" xfId="0" applyFont="1" applyFill="1" applyBorder="1" applyAlignment="1">
      <alignment horizontal="center" vertical="center" textRotation="90"/>
    </xf>
    <xf numFmtId="0" fontId="24" fillId="0" borderId="4" xfId="0" applyFont="1" applyFill="1" applyBorder="1" applyAlignment="1">
      <alignment horizontal="center" vertical="center" textRotation="90"/>
    </xf>
    <xf numFmtId="0" fontId="24" fillId="0" borderId="5" xfId="0" applyFont="1" applyFill="1" applyBorder="1" applyAlignment="1">
      <alignment horizontal="center" vertical="center" textRotation="90"/>
    </xf>
    <xf numFmtId="0" fontId="24" fillId="0" borderId="1" xfId="0" applyFont="1" applyFill="1" applyBorder="1" applyAlignment="1">
      <alignment horizontal="center" vertical="center" textRotation="90"/>
    </xf>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Medium7"/>
  <colors>
    <mruColors>
      <color rgb="FFFB9F9A"/>
      <color rgb="FFFF8F8D"/>
      <color rgb="FFFFD5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ysClr val="windowText" lastClr="000000"/>
                </a:solidFill>
                <a:effectLst/>
              </a:rPr>
              <a:t>Distance decay in pollination services provision</a:t>
            </a:r>
            <a:endParaRPr lang="en-GB" sz="14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'Amber Standard'!$O$5</c:f>
              <c:strCache>
                <c:ptCount val="1"/>
                <c:pt idx="0">
                  <c:v>£ ha-1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3.7651634454784103E-2"/>
                  <c:y val="-0.5354019795422769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800" baseline="0"/>
                      <a:t>y = </a:t>
                    </a:r>
                    <a:r>
                      <a:rPr lang="en-US" sz="1800" baseline="0">
                        <a:solidFill>
                          <a:schemeClr val="accent1"/>
                        </a:solidFill>
                      </a:rPr>
                      <a:t>202.95</a:t>
                    </a:r>
                    <a:r>
                      <a:rPr lang="en-US" sz="1800" baseline="0"/>
                      <a:t>e</a:t>
                    </a:r>
                    <a:r>
                      <a:rPr lang="en-US" sz="1800" baseline="30000"/>
                      <a:t>-</a:t>
                    </a:r>
                    <a:r>
                      <a:rPr lang="en-US" sz="1800" baseline="30000">
                        <a:solidFill>
                          <a:srgbClr val="FF0000"/>
                        </a:solidFill>
                      </a:rPr>
                      <a:t>0.002</a:t>
                    </a:r>
                    <a:r>
                      <a:rPr lang="en-US" sz="1800" baseline="30000"/>
                      <a:t>x</a:t>
                    </a:r>
                    <a:endParaRPr lang="en-US" sz="18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'Amber Standard'!$I$6:$I$10</c:f>
              <c:numCache>
                <c:formatCode>0</c:formatCode>
                <c:ptCount val="5"/>
                <c:pt idx="0" formatCode="General">
                  <c:v>0</c:v>
                </c:pt>
                <c:pt idx="1">
                  <c:v>51.666666666666664</c:v>
                </c:pt>
                <c:pt idx="2">
                  <c:v>460.66666666666669</c:v>
                </c:pt>
                <c:pt idx="3">
                  <c:v>826.33333333333337</c:v>
                </c:pt>
                <c:pt idx="4">
                  <c:v>1000</c:v>
                </c:pt>
              </c:numCache>
            </c:numRef>
          </c:xVal>
          <c:yVal>
            <c:numRef>
              <c:f>'Amber Standard'!$O$6:$O$10</c:f>
              <c:numCache>
                <c:formatCode>"£"#,##0.00</c:formatCode>
                <c:ptCount val="5"/>
                <c:pt idx="0">
                  <c:v>230.107575</c:v>
                </c:pt>
                <c:pt idx="1">
                  <c:v>214.46025989999993</c:v>
                </c:pt>
                <c:pt idx="2">
                  <c:v>48.782805899999993</c:v>
                </c:pt>
                <c:pt idx="3">
                  <c:v>63.509690699999986</c:v>
                </c:pt>
                <c:pt idx="4">
                  <c:v>27.466295732870545</c:v>
                </c:pt>
              </c:numCache>
            </c:numRef>
          </c:yVal>
          <c:smooth val="0"/>
          <c:extLst>
            <c:ext xmlns:c16="http://schemas.microsoft.com/office/drawing/2014/chart" uri="{C3380CC4-5D6E-409C-BE32-E72D297353CC}">
              <c16:uniqueId val="{00000001-98C7-4C2E-98CD-66F437AB79AA}"/>
            </c:ext>
          </c:extLst>
        </c:ser>
        <c:dLbls>
          <c:showLegendKey val="0"/>
          <c:showVal val="0"/>
          <c:showCatName val="0"/>
          <c:showSerName val="0"/>
          <c:showPercent val="0"/>
          <c:showBubbleSize val="0"/>
        </c:dLbls>
        <c:axId val="310455072"/>
        <c:axId val="362205552"/>
      </c:scatterChart>
      <c:valAx>
        <c:axId val="310455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i="0" baseline="0">
                    <a:solidFill>
                      <a:sysClr val="windowText" lastClr="000000"/>
                    </a:solidFill>
                    <a:effectLst/>
                  </a:rPr>
                  <a:t>Distance from the site (m)</a:t>
                </a:r>
                <a:endParaRPr lang="en-GB" sz="8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05552"/>
        <c:crosses val="autoZero"/>
        <c:crossBetween val="midCat"/>
      </c:valAx>
      <c:valAx>
        <c:axId val="36220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i="0" baseline="0">
                    <a:solidFill>
                      <a:sysClr val="windowText" lastClr="000000"/>
                    </a:solidFill>
                    <a:effectLst/>
                  </a:rPr>
                  <a:t>Value of pollination (£ ha</a:t>
                </a:r>
                <a:r>
                  <a:rPr lang="en-GB" sz="1400" b="1" i="0" baseline="30000">
                    <a:solidFill>
                      <a:sysClr val="windowText" lastClr="000000"/>
                    </a:solidFill>
                    <a:effectLst/>
                  </a:rPr>
                  <a:t>-1</a:t>
                </a:r>
                <a:r>
                  <a:rPr lang="en-GB" sz="1400" b="1" i="0" baseline="0">
                    <a:solidFill>
                      <a:sysClr val="windowText" lastClr="000000"/>
                    </a:solidFill>
                    <a:effectLst/>
                  </a:rPr>
                  <a:t> year</a:t>
                </a:r>
                <a:r>
                  <a:rPr lang="en-GB" sz="1400" b="1" i="0" baseline="30000">
                    <a:solidFill>
                      <a:sysClr val="windowText" lastClr="000000"/>
                    </a:solidFill>
                    <a:effectLst/>
                  </a:rPr>
                  <a:t>-1</a:t>
                </a:r>
                <a:r>
                  <a:rPr lang="en-GB" sz="1400" b="1" i="0" baseline="0">
                    <a:solidFill>
                      <a:sysClr val="windowText" lastClr="000000"/>
                    </a:solidFill>
                    <a:effectLst/>
                  </a:rPr>
                  <a:t>)</a:t>
                </a:r>
                <a:endParaRPr lang="en-GB" sz="800" baseline="0">
                  <a:solidFill>
                    <a:sysClr val="windowText" lastClr="000000"/>
                  </a:solidFill>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55072"/>
        <c:crosses val="autoZero"/>
        <c:crossBetween val="midCat"/>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ysClr val="windowText" lastClr="000000"/>
                </a:solidFill>
                <a:effectLst/>
              </a:rPr>
              <a:t>Distance decay in pollination services provision</a:t>
            </a:r>
            <a:endParaRPr lang="en-GB" sz="14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'Amber Standard Alternative'!$O$5</c:f>
              <c:strCache>
                <c:ptCount val="1"/>
                <c:pt idx="0">
                  <c:v>£ ha-1</c:v>
                </c:pt>
              </c:strCache>
            </c:strRef>
          </c:tx>
          <c:spPr>
            <a:ln w="31750" cap="rnd">
              <a:noFill/>
              <a:round/>
            </a:ln>
            <a:effectLst/>
          </c:spPr>
          <c:marker>
            <c:symbol val="circle"/>
            <c:size val="5"/>
            <c:spPr>
              <a:solidFill>
                <a:schemeClr val="accent2"/>
              </a:solidFill>
              <a:ln w="9525">
                <a:solidFill>
                  <a:schemeClr val="accent2"/>
                </a:solidFill>
              </a:ln>
              <a:effectLst/>
            </c:spPr>
          </c:marker>
          <c:xVal>
            <c:numRef>
              <c:f>'Amber Standard Alternative'!$I$6:$I$10</c:f>
              <c:numCache>
                <c:formatCode>0</c:formatCode>
                <c:ptCount val="5"/>
                <c:pt idx="0" formatCode="General">
                  <c:v>0</c:v>
                </c:pt>
                <c:pt idx="1">
                  <c:v>51.666666666666664</c:v>
                </c:pt>
                <c:pt idx="2">
                  <c:v>460.66666666666669</c:v>
                </c:pt>
                <c:pt idx="3">
                  <c:v>826.33333333333337</c:v>
                </c:pt>
                <c:pt idx="4">
                  <c:v>1000</c:v>
                </c:pt>
              </c:numCache>
            </c:numRef>
          </c:xVal>
          <c:yVal>
            <c:numRef>
              <c:f>'Amber Standard Alternative'!$O$6:$O$10</c:f>
              <c:numCache>
                <c:formatCode>"£"#,##0.00</c:formatCode>
                <c:ptCount val="5"/>
                <c:pt idx="0">
                  <c:v>230.107575</c:v>
                </c:pt>
                <c:pt idx="1">
                  <c:v>214.46025989999993</c:v>
                </c:pt>
                <c:pt idx="2">
                  <c:v>48.782805899999993</c:v>
                </c:pt>
                <c:pt idx="3">
                  <c:v>63.509690699999986</c:v>
                </c:pt>
                <c:pt idx="4">
                  <c:v>27.466295732870545</c:v>
                </c:pt>
              </c:numCache>
            </c:numRef>
          </c:yVal>
          <c:smooth val="0"/>
          <c:extLst>
            <c:ext xmlns:c16="http://schemas.microsoft.com/office/drawing/2014/chart" uri="{C3380CC4-5D6E-409C-BE32-E72D297353CC}">
              <c16:uniqueId val="{00000000-23A2-44C4-A406-42E8D565608B}"/>
            </c:ext>
          </c:extLst>
        </c:ser>
        <c:ser>
          <c:idx val="0"/>
          <c:order val="1"/>
          <c:tx>
            <c:strRef>
              <c:f>'Amber Standard Alternative'!$O$5</c:f>
              <c:strCache>
                <c:ptCount val="1"/>
                <c:pt idx="0">
                  <c:v>£ ha-1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3.7651634454784103E-2"/>
                  <c:y val="-0.5354019795422769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800" baseline="0"/>
                      <a:t>y = </a:t>
                    </a:r>
                    <a:r>
                      <a:rPr lang="en-US" sz="1800" baseline="0">
                        <a:solidFill>
                          <a:schemeClr val="accent1"/>
                        </a:solidFill>
                      </a:rPr>
                      <a:t>202.95</a:t>
                    </a:r>
                    <a:r>
                      <a:rPr lang="en-US" sz="1800" baseline="0"/>
                      <a:t>e</a:t>
                    </a:r>
                    <a:r>
                      <a:rPr lang="en-US" sz="1800" baseline="30000"/>
                      <a:t>-</a:t>
                    </a:r>
                    <a:r>
                      <a:rPr lang="en-US" sz="1800" baseline="30000">
                        <a:solidFill>
                          <a:srgbClr val="FF0000"/>
                        </a:solidFill>
                      </a:rPr>
                      <a:t>0.002</a:t>
                    </a:r>
                    <a:r>
                      <a:rPr lang="en-US" sz="1800" baseline="30000"/>
                      <a:t>x</a:t>
                    </a:r>
                    <a:endParaRPr lang="en-US" sz="18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'Amber Standard Alternative'!$I$6:$I$10</c:f>
              <c:numCache>
                <c:formatCode>0</c:formatCode>
                <c:ptCount val="5"/>
                <c:pt idx="0" formatCode="General">
                  <c:v>0</c:v>
                </c:pt>
                <c:pt idx="1">
                  <c:v>51.666666666666664</c:v>
                </c:pt>
                <c:pt idx="2">
                  <c:v>460.66666666666669</c:v>
                </c:pt>
                <c:pt idx="3">
                  <c:v>826.33333333333337</c:v>
                </c:pt>
                <c:pt idx="4">
                  <c:v>1000</c:v>
                </c:pt>
              </c:numCache>
            </c:numRef>
          </c:xVal>
          <c:yVal>
            <c:numRef>
              <c:f>'Amber Standard Alternative'!$O$6:$O$10</c:f>
              <c:numCache>
                <c:formatCode>"£"#,##0.00</c:formatCode>
                <c:ptCount val="5"/>
                <c:pt idx="0">
                  <c:v>230.107575</c:v>
                </c:pt>
                <c:pt idx="1">
                  <c:v>214.46025989999993</c:v>
                </c:pt>
                <c:pt idx="2">
                  <c:v>48.782805899999993</c:v>
                </c:pt>
                <c:pt idx="3">
                  <c:v>63.509690699999986</c:v>
                </c:pt>
                <c:pt idx="4">
                  <c:v>27.466295732870545</c:v>
                </c:pt>
              </c:numCache>
            </c:numRef>
          </c:yVal>
          <c:smooth val="0"/>
          <c:extLst>
            <c:ext xmlns:c16="http://schemas.microsoft.com/office/drawing/2014/chart" uri="{C3380CC4-5D6E-409C-BE32-E72D297353CC}">
              <c16:uniqueId val="{00000002-23A2-44C4-A406-42E8D565608B}"/>
            </c:ext>
          </c:extLst>
        </c:ser>
        <c:dLbls>
          <c:showLegendKey val="0"/>
          <c:showVal val="0"/>
          <c:showCatName val="0"/>
          <c:showSerName val="0"/>
          <c:showPercent val="0"/>
          <c:showBubbleSize val="0"/>
        </c:dLbls>
        <c:axId val="361394416"/>
        <c:axId val="310511504"/>
      </c:scatterChart>
      <c:valAx>
        <c:axId val="36139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i="0" baseline="0">
                    <a:solidFill>
                      <a:sysClr val="windowText" lastClr="000000"/>
                    </a:solidFill>
                    <a:effectLst/>
                  </a:rPr>
                  <a:t>Distance from the site (m)</a:t>
                </a:r>
                <a:endParaRPr lang="en-GB" sz="8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11504"/>
        <c:crosses val="autoZero"/>
        <c:crossBetween val="midCat"/>
      </c:valAx>
      <c:valAx>
        <c:axId val="31051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i="0" baseline="0">
                    <a:solidFill>
                      <a:sysClr val="windowText" lastClr="000000"/>
                    </a:solidFill>
                    <a:effectLst/>
                  </a:rPr>
                  <a:t>Value of pollination (£ ha</a:t>
                </a:r>
                <a:r>
                  <a:rPr lang="en-GB" sz="1400" b="1" i="0" baseline="30000">
                    <a:solidFill>
                      <a:sysClr val="windowText" lastClr="000000"/>
                    </a:solidFill>
                    <a:effectLst/>
                  </a:rPr>
                  <a:t>-1</a:t>
                </a:r>
                <a:r>
                  <a:rPr lang="en-GB" sz="1400" b="1" i="0" baseline="0">
                    <a:solidFill>
                      <a:sysClr val="windowText" lastClr="000000"/>
                    </a:solidFill>
                    <a:effectLst/>
                  </a:rPr>
                  <a:t> year</a:t>
                </a:r>
                <a:r>
                  <a:rPr lang="en-GB" sz="1400" b="1" i="0" baseline="30000">
                    <a:solidFill>
                      <a:sysClr val="windowText" lastClr="000000"/>
                    </a:solidFill>
                    <a:effectLst/>
                  </a:rPr>
                  <a:t>-1</a:t>
                </a:r>
                <a:r>
                  <a:rPr lang="en-GB" sz="1400" b="1" i="0" baseline="0">
                    <a:solidFill>
                      <a:sysClr val="windowText" lastClr="000000"/>
                    </a:solidFill>
                    <a:effectLst/>
                  </a:rPr>
                  <a:t>)</a:t>
                </a:r>
                <a:endParaRPr lang="en-GB" sz="800">
                  <a:solidFill>
                    <a:sysClr val="windowText" lastClr="000000"/>
                  </a:solidFill>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94416"/>
        <c:crosses val="autoZero"/>
        <c:crossBetween val="midCat"/>
      </c:valAx>
      <c:spPr>
        <a:noFill/>
        <a:ln>
          <a:noFill/>
        </a:ln>
        <a:effectLst/>
      </c:spPr>
    </c:plotArea>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DR</a:t>
            </a:r>
            <a:r>
              <a:rPr lang="en-US" sz="1800" b="1" baseline="0">
                <a:solidFill>
                  <a:schemeClr val="tx1"/>
                </a:solidFill>
              </a:rPr>
              <a:t> at increasing distance from the site</a:t>
            </a:r>
            <a:endParaRPr lang="en-US" sz="1800" b="1">
              <a:solidFill>
                <a:schemeClr val="tx1"/>
              </a:solidFill>
            </a:endParaRPr>
          </a:p>
        </c:rich>
      </c:tx>
      <c:layout>
        <c:manualLayout>
          <c:xMode val="edge"/>
          <c:yMode val="edge"/>
          <c:x val="0.29203227990166403"/>
          <c:y val="2.84604821748274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'Green Standard'!$I$6</c:f>
              <c:strCache>
                <c:ptCount val="1"/>
                <c:pt idx="0">
                  <c:v>Mean DR</c:v>
                </c:pt>
              </c:strCache>
            </c:strRef>
          </c:tx>
          <c:spPr>
            <a:ln w="317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'Green Standard'!$H$7:$H$11</c:f>
              <c:numCache>
                <c:formatCode>0</c:formatCode>
                <c:ptCount val="5"/>
                <c:pt idx="0">
                  <c:v>0</c:v>
                </c:pt>
                <c:pt idx="1">
                  <c:v>52</c:v>
                </c:pt>
                <c:pt idx="2">
                  <c:v>454.66666666666669</c:v>
                </c:pt>
                <c:pt idx="3">
                  <c:v>830</c:v>
                </c:pt>
                <c:pt idx="4">
                  <c:v>1000</c:v>
                </c:pt>
              </c:numCache>
            </c:numRef>
          </c:xVal>
          <c:yVal>
            <c:numRef>
              <c:f>'Green Standard'!$I$7:$I$11</c:f>
              <c:numCache>
                <c:formatCode>0.00</c:formatCode>
                <c:ptCount val="5"/>
                <c:pt idx="0">
                  <c:v>0.23813852813852815</c:v>
                </c:pt>
                <c:pt idx="1">
                  <c:v>0.23968253968253969</c:v>
                </c:pt>
                <c:pt idx="2">
                  <c:v>0.18833333333333332</c:v>
                </c:pt>
                <c:pt idx="3">
                  <c:v>0.16198412698412698</c:v>
                </c:pt>
              </c:numCache>
            </c:numRef>
          </c:yVal>
          <c:smooth val="0"/>
          <c:extLst>
            <c:ext xmlns:c16="http://schemas.microsoft.com/office/drawing/2014/chart" uri="{C3380CC4-5D6E-409C-BE32-E72D297353CC}">
              <c16:uniqueId val="{00000001-3421-4B21-A216-2F8C206773AE}"/>
            </c:ext>
          </c:extLst>
        </c:ser>
        <c:dLbls>
          <c:showLegendKey val="0"/>
          <c:showVal val="0"/>
          <c:showCatName val="0"/>
          <c:showSerName val="0"/>
          <c:showPercent val="0"/>
          <c:showBubbleSize val="0"/>
        </c:dLbls>
        <c:axId val="315856864"/>
        <c:axId val="315861264"/>
      </c:scatterChart>
      <c:valAx>
        <c:axId val="31585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400" b="1" i="0" kern="1200" baseline="0">
                    <a:solidFill>
                      <a:srgbClr val="000000"/>
                    </a:solidFill>
                    <a:effectLst/>
                  </a:rPr>
                  <a:t>Distance from the site (meters)</a:t>
                </a:r>
                <a:endParaRPr lang="en-GB" sz="1400">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61264"/>
        <c:crosses val="autoZero"/>
        <c:crossBetween val="midCat"/>
      </c:valAx>
      <c:valAx>
        <c:axId val="31586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tx1"/>
                    </a:solidFill>
                  </a:rPr>
                  <a:t> % Dependency Ratio (DR)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56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DR</a:t>
            </a:r>
            <a:r>
              <a:rPr lang="en-US" sz="1800" b="1" baseline="0">
                <a:solidFill>
                  <a:schemeClr val="tx1"/>
                </a:solidFill>
              </a:rPr>
              <a:t> at increasing distance from the site</a:t>
            </a:r>
            <a:endParaRPr lang="en-US" sz="1800" b="1">
              <a:solidFill>
                <a:schemeClr val="tx1"/>
              </a:solidFill>
            </a:endParaRPr>
          </a:p>
        </c:rich>
      </c:tx>
      <c:layout>
        <c:manualLayout>
          <c:xMode val="edge"/>
          <c:yMode val="edge"/>
          <c:x val="0.29203227990166403"/>
          <c:y val="2.84604821748274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'Green Standard'!$I$6</c:f>
              <c:strCache>
                <c:ptCount val="1"/>
                <c:pt idx="0">
                  <c:v>Mean DR</c:v>
                </c:pt>
              </c:strCache>
            </c:strRef>
          </c:tx>
          <c:spPr>
            <a:ln w="317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'Green Standard'!$H$7:$H$11</c:f>
              <c:numCache>
                <c:formatCode>0</c:formatCode>
                <c:ptCount val="5"/>
                <c:pt idx="0">
                  <c:v>0</c:v>
                </c:pt>
                <c:pt idx="1">
                  <c:v>52</c:v>
                </c:pt>
                <c:pt idx="2">
                  <c:v>454.66666666666669</c:v>
                </c:pt>
                <c:pt idx="3">
                  <c:v>830</c:v>
                </c:pt>
                <c:pt idx="4">
                  <c:v>1000</c:v>
                </c:pt>
              </c:numCache>
            </c:numRef>
          </c:xVal>
          <c:yVal>
            <c:numRef>
              <c:f>'Green Standard'!$I$7:$I$11</c:f>
              <c:numCache>
                <c:formatCode>0.00</c:formatCode>
                <c:ptCount val="5"/>
                <c:pt idx="0">
                  <c:v>0.23813852813852815</c:v>
                </c:pt>
                <c:pt idx="1">
                  <c:v>0.23968253968253969</c:v>
                </c:pt>
                <c:pt idx="2">
                  <c:v>0.18833333333333332</c:v>
                </c:pt>
                <c:pt idx="3">
                  <c:v>0.16198412698412698</c:v>
                </c:pt>
              </c:numCache>
            </c:numRef>
          </c:yVal>
          <c:smooth val="0"/>
          <c:extLst>
            <c:ext xmlns:c16="http://schemas.microsoft.com/office/drawing/2014/chart" uri="{C3380CC4-5D6E-409C-BE32-E72D297353CC}">
              <c16:uniqueId val="{00000001-15C5-425D-A1CF-9238B8105D19}"/>
            </c:ext>
          </c:extLst>
        </c:ser>
        <c:dLbls>
          <c:showLegendKey val="0"/>
          <c:showVal val="0"/>
          <c:showCatName val="0"/>
          <c:showSerName val="0"/>
          <c:showPercent val="0"/>
          <c:showBubbleSize val="0"/>
        </c:dLbls>
        <c:axId val="378706992"/>
        <c:axId val="362082784"/>
      </c:scatterChart>
      <c:valAx>
        <c:axId val="378706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400" b="1" i="0" kern="1200" baseline="0">
                    <a:solidFill>
                      <a:srgbClr val="000000"/>
                    </a:solidFill>
                    <a:effectLst/>
                  </a:rPr>
                  <a:t>Distance from the site (meters)</a:t>
                </a:r>
                <a:endParaRPr lang="en-GB" sz="1400">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82784"/>
        <c:crosses val="autoZero"/>
        <c:crossBetween val="midCat"/>
      </c:valAx>
      <c:valAx>
        <c:axId val="362082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tx1"/>
                    </a:solidFill>
                  </a:rPr>
                  <a:t> % Dependency Ratio (DR)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706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863600</xdr:colOff>
      <xdr:row>13</xdr:row>
      <xdr:rowOff>49274</xdr:rowOff>
    </xdr:from>
    <xdr:to>
      <xdr:col>6</xdr:col>
      <xdr:colOff>250200</xdr:colOff>
      <xdr:row>38</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2919474"/>
          <a:ext cx="5266700" cy="5145026"/>
        </a:xfrm>
        <a:prstGeom prst="rect">
          <a:avLst/>
        </a:prstGeom>
        <a:ln w="9525" cap="sq">
          <a:solidFill>
            <a:sysClr val="windowText" lastClr="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250080</xdr:colOff>
      <xdr:row>13</xdr:row>
      <xdr:rowOff>34390</xdr:rowOff>
    </xdr:from>
    <xdr:to>
      <xdr:col>3</xdr:col>
      <xdr:colOff>2235200</xdr:colOff>
      <xdr:row>38</xdr:row>
      <xdr:rowOff>97192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0080" y="2904590"/>
          <a:ext cx="5896720" cy="5142802"/>
        </a:xfrm>
        <a:prstGeom prst="rect">
          <a:avLst/>
        </a:prstGeom>
        <a:ln w="12700" cap="sq">
          <a:solidFill>
            <a:sysClr val="windowText" lastClr="000000"/>
          </a:solidFill>
          <a:prstDash val="solid"/>
          <a:miter lim="800000"/>
        </a:ln>
        <a:effectLst>
          <a:outerShdw blurRad="50800" dist="38100" dir="2700000" algn="tl" rotWithShape="0">
            <a:srgbClr val="000000">
              <a:alpha val="43000"/>
            </a:srgbClr>
          </a:outerShdw>
        </a:effectLst>
      </xdr:spPr>
    </xdr:pic>
    <xdr:clientData/>
  </xdr:twoCellAnchor>
  <xdr:oneCellAnchor>
    <xdr:from>
      <xdr:col>8</xdr:col>
      <xdr:colOff>979312</xdr:colOff>
      <xdr:row>13</xdr:row>
      <xdr:rowOff>76200</xdr:rowOff>
    </xdr:from>
    <xdr:ext cx="4699000" cy="968983"/>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2828412" y="2946400"/>
          <a:ext cx="4699000" cy="968983"/>
        </a:xfrm>
        <a:prstGeom prst="rect">
          <a:avLst/>
        </a:prstGeom>
        <a:solidFill>
          <a:srgbClr val="FB9F9A"/>
        </a:solidFill>
        <a:ln>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twoCellAnchor>
    <xdr:from>
      <xdr:col>0</xdr:col>
      <xdr:colOff>237067</xdr:colOff>
      <xdr:row>39</xdr:row>
      <xdr:rowOff>79025</xdr:rowOff>
    </xdr:from>
    <xdr:to>
      <xdr:col>7</xdr:col>
      <xdr:colOff>1092200</xdr:colOff>
      <xdr:row>47</xdr:row>
      <xdr:rowOff>64912</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37067" y="8232425"/>
          <a:ext cx="11599333" cy="161148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Table 2 </a:t>
          </a:r>
          <a:r>
            <a:rPr lang="en-US" sz="1400" baseline="0">
              <a:solidFill>
                <a:schemeClr val="dk1"/>
              </a:solidFill>
              <a:effectLst/>
              <a:latin typeface="+mn-lt"/>
              <a:ea typeface="+mn-ea"/>
              <a:cs typeface="+mn-cs"/>
            </a:rPr>
            <a:t>above shows published decay rates, whicb are used to calculate the  the value of pollinaiton services at increasing distances form the assessment site.</a:t>
          </a:r>
        </a:p>
        <a:p>
          <a:pPr marL="0" marR="0" indent="0" defTabSz="914400" eaLnBrk="1" fontAlgn="auto" latinLnBrk="0" hangingPunct="1">
            <a:lnSpc>
              <a:spcPct val="100000"/>
            </a:lnSpc>
            <a:spcBef>
              <a:spcPts val="0"/>
            </a:spcBef>
            <a:spcAft>
              <a:spcPts val="0"/>
            </a:spcAft>
            <a:buClrTx/>
            <a:buSzTx/>
            <a:buFontTx/>
            <a:buNone/>
            <a:tabLst/>
            <a:defRPr/>
          </a:pPr>
          <a:r>
            <a:rPr lang="en-US" sz="1400" baseline="0">
              <a:solidFill>
                <a:schemeClr val="dk1"/>
              </a:solidFill>
              <a:effectLst/>
              <a:latin typeface="+mn-lt"/>
              <a:ea typeface="+mn-ea"/>
              <a:cs typeface="+mn-cs"/>
            </a:rPr>
            <a:t>The formula embedded in the spredsheet use the decay rate for vVsitation frequency  (-0.00104). You can  modify this and use the value more appropriate to the  latitude  in which the site occurs.</a:t>
          </a:r>
        </a:p>
        <a:p>
          <a:pPr marL="0" marR="0" indent="0" defTabSz="914400" eaLnBrk="1" fontAlgn="auto" latinLnBrk="0" hangingPunct="1">
            <a:lnSpc>
              <a:spcPct val="100000"/>
            </a:lnSpc>
            <a:spcBef>
              <a:spcPts val="0"/>
            </a:spcBef>
            <a:spcAft>
              <a:spcPts val="0"/>
            </a:spcAft>
            <a:buClrTx/>
            <a:buSzTx/>
            <a:buFontTx/>
            <a:buNone/>
            <a:tabLst/>
            <a:defRPr/>
          </a:pPr>
          <a:r>
            <a:rPr lang="en-US" sz="1400" b="1" baseline="0">
              <a:solidFill>
                <a:schemeClr val="dk1"/>
              </a:solidFill>
              <a:effectLst/>
              <a:latin typeface="+mn-lt"/>
              <a:ea typeface="+mn-ea"/>
              <a:cs typeface="+mn-cs"/>
            </a:rPr>
            <a:t>Figure 2 </a:t>
          </a:r>
          <a:r>
            <a:rPr lang="en-US" sz="1400" baseline="0">
              <a:solidFill>
                <a:schemeClr val="dk1"/>
              </a:solidFill>
              <a:effectLst/>
              <a:latin typeface="+mn-lt"/>
              <a:ea typeface="+mn-ea"/>
              <a:cs typeface="+mn-cs"/>
            </a:rPr>
            <a:t>shows the decay curve resulting from hte Ricketts </a:t>
          </a:r>
          <a:r>
            <a:rPr lang="en-US" sz="1400" i="1" baseline="0">
              <a:solidFill>
                <a:schemeClr val="dk1"/>
              </a:solidFill>
              <a:effectLst/>
              <a:latin typeface="+mn-lt"/>
              <a:ea typeface="+mn-ea"/>
              <a:cs typeface="+mn-cs"/>
            </a:rPr>
            <a:t>et al </a:t>
          </a:r>
          <a:r>
            <a:rPr lang="en-US" sz="1400" baseline="0">
              <a:solidFill>
                <a:schemeClr val="dk1"/>
              </a:solidFill>
              <a:effectLst/>
              <a:latin typeface="+mn-lt"/>
              <a:ea typeface="+mn-ea"/>
              <a:cs typeface="+mn-cs"/>
            </a:rPr>
            <a:t>(2008) meta-analysis</a:t>
          </a:r>
          <a:endParaRPr lang="en-US" sz="14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RICKETTS, T. H., REGETZ, J., STEFFAN-DEWENTER, I., CUNNINGHAM, S. A., KREMEN, C., BOGDANSKI, A., GEMMILL-HERREN, B., GREENLEAF, S. S., KLEIN, A. M., MAYFIELD, M. M., MORANDIN, L. A., OCHIENG, A. &amp; VIANA, B. F. 2008. Landscape effects on crop pollination services: are there general patterns? </a:t>
          </a:r>
          <a:r>
            <a:rPr lang="en-US" sz="1400" b="1" i="1">
              <a:solidFill>
                <a:schemeClr val="dk1"/>
              </a:solidFill>
              <a:effectLst/>
              <a:latin typeface="+mn-lt"/>
              <a:ea typeface="+mn-ea"/>
              <a:cs typeface="+mn-cs"/>
            </a:rPr>
            <a:t>Ecology Letters,</a:t>
          </a:r>
          <a:r>
            <a:rPr lang="en-US" sz="1400" b="1">
              <a:solidFill>
                <a:schemeClr val="dk1"/>
              </a:solidFill>
              <a:effectLst/>
              <a:latin typeface="+mn-lt"/>
              <a:ea typeface="+mn-ea"/>
              <a:cs typeface="+mn-cs"/>
            </a:rPr>
            <a:t> 11, 499-515.</a:t>
          </a:r>
          <a:endParaRPr lang="en-GB" sz="1400" b="1">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337000</xdr:colOff>
      <xdr:row>14</xdr:row>
      <xdr:rowOff>0</xdr:rowOff>
    </xdr:from>
    <xdr:to>
      <xdr:col>5</xdr:col>
      <xdr:colOff>654983</xdr:colOff>
      <xdr:row>36</xdr:row>
      <xdr:rowOff>25400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66300" y="3073400"/>
          <a:ext cx="4455008" cy="4495800"/>
        </a:xfrm>
        <a:prstGeom prst="rect">
          <a:avLst/>
        </a:prstGeom>
        <a:ln w="9525" cap="sq">
          <a:solidFill>
            <a:sysClr val="windowText" lastClr="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736600</xdr:colOff>
      <xdr:row>14</xdr:row>
      <xdr:rowOff>15738</xdr:rowOff>
    </xdr:from>
    <xdr:to>
      <xdr:col>3</xdr:col>
      <xdr:colOff>1619434</xdr:colOff>
      <xdr:row>36</xdr:row>
      <xdr:rowOff>32414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6600" y="3089138"/>
          <a:ext cx="4797609" cy="4487076"/>
        </a:xfrm>
        <a:prstGeom prst="rect">
          <a:avLst/>
        </a:prstGeom>
        <a:ln w="12700" cap="sq">
          <a:solidFill>
            <a:sysClr val="windowText" lastClr="000000"/>
          </a:solidFill>
          <a:prstDash val="solid"/>
          <a:miter lim="800000"/>
        </a:ln>
        <a:effectLst>
          <a:outerShdw blurRad="50800" dist="38100" dir="2700000" algn="tl" rotWithShape="0">
            <a:srgbClr val="000000">
              <a:alpha val="43000"/>
            </a:srgbClr>
          </a:outerShdw>
        </a:effectLst>
      </xdr:spPr>
    </xdr:pic>
    <xdr:clientData/>
  </xdr:twoCellAnchor>
  <xdr:oneCellAnchor>
    <xdr:from>
      <xdr:col>7</xdr:col>
      <xdr:colOff>109362</xdr:colOff>
      <xdr:row>14</xdr:row>
      <xdr:rowOff>9525</xdr:rowOff>
    </xdr:from>
    <xdr:ext cx="4699000" cy="968983"/>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1825112" y="3067050"/>
          <a:ext cx="4699000" cy="968983"/>
        </a:xfrm>
        <a:prstGeom prst="rect">
          <a:avLst/>
        </a:prstGeom>
        <a:solidFill>
          <a:srgbClr val="FB9F9A"/>
        </a:solidFill>
        <a:ln>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twoCellAnchor>
    <xdr:from>
      <xdr:col>0</xdr:col>
      <xdr:colOff>736600</xdr:colOff>
      <xdr:row>37</xdr:row>
      <xdr:rowOff>52210</xdr:rowOff>
    </xdr:from>
    <xdr:to>
      <xdr:col>6</xdr:col>
      <xdr:colOff>812800</xdr:colOff>
      <xdr:row>46</xdr:row>
      <xdr:rowOff>165100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736600" y="7799210"/>
          <a:ext cx="9842500" cy="194169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Table 2 </a:t>
          </a:r>
          <a:r>
            <a:rPr lang="en-US" sz="1400" baseline="0">
              <a:solidFill>
                <a:schemeClr val="dk1"/>
              </a:solidFill>
              <a:effectLst/>
              <a:latin typeface="+mn-lt"/>
              <a:ea typeface="+mn-ea"/>
              <a:cs typeface="+mn-cs"/>
            </a:rPr>
            <a:t>above shows published decay rates, whicb are used to calculate the  the value of pollinaiton services at increasing distances form the assessment site.</a:t>
          </a:r>
        </a:p>
        <a:p>
          <a:pPr marL="0" marR="0" indent="0" defTabSz="914400" eaLnBrk="1" fontAlgn="auto" latinLnBrk="0" hangingPunct="1">
            <a:lnSpc>
              <a:spcPct val="100000"/>
            </a:lnSpc>
            <a:spcBef>
              <a:spcPts val="0"/>
            </a:spcBef>
            <a:spcAft>
              <a:spcPts val="0"/>
            </a:spcAft>
            <a:buClrTx/>
            <a:buSzTx/>
            <a:buFontTx/>
            <a:buNone/>
            <a:tabLst/>
            <a:defRPr/>
          </a:pPr>
          <a:r>
            <a:rPr lang="en-US" sz="1400" baseline="0">
              <a:solidFill>
                <a:schemeClr val="dk1"/>
              </a:solidFill>
              <a:effectLst/>
              <a:latin typeface="+mn-lt"/>
              <a:ea typeface="+mn-ea"/>
              <a:cs typeface="+mn-cs"/>
            </a:rPr>
            <a:t>The formula embedded in the spredsheet use the decay rate for vVsitation frequency  (-0.00104). You can  modify this and use the value more appropriate to the  latitude  in which the site occurs.</a:t>
          </a:r>
        </a:p>
        <a:p>
          <a:pPr marL="0" marR="0" indent="0" defTabSz="914400" eaLnBrk="1" fontAlgn="auto" latinLnBrk="0" hangingPunct="1">
            <a:lnSpc>
              <a:spcPct val="100000"/>
            </a:lnSpc>
            <a:spcBef>
              <a:spcPts val="0"/>
            </a:spcBef>
            <a:spcAft>
              <a:spcPts val="0"/>
            </a:spcAft>
            <a:buClrTx/>
            <a:buSzTx/>
            <a:buFontTx/>
            <a:buNone/>
            <a:tabLst/>
            <a:defRPr/>
          </a:pPr>
          <a:r>
            <a:rPr lang="en-US" sz="1400" b="1" baseline="0">
              <a:solidFill>
                <a:schemeClr val="dk1"/>
              </a:solidFill>
              <a:effectLst/>
              <a:latin typeface="+mn-lt"/>
              <a:ea typeface="+mn-ea"/>
              <a:cs typeface="+mn-cs"/>
            </a:rPr>
            <a:t>Figure 2 </a:t>
          </a:r>
          <a:r>
            <a:rPr lang="en-US" sz="1400" baseline="0">
              <a:solidFill>
                <a:schemeClr val="dk1"/>
              </a:solidFill>
              <a:effectLst/>
              <a:latin typeface="+mn-lt"/>
              <a:ea typeface="+mn-ea"/>
              <a:cs typeface="+mn-cs"/>
            </a:rPr>
            <a:t>shows the decay curve resulting from hte Ricketts </a:t>
          </a:r>
          <a:r>
            <a:rPr lang="en-US" sz="1400" i="1" baseline="0">
              <a:solidFill>
                <a:schemeClr val="dk1"/>
              </a:solidFill>
              <a:effectLst/>
              <a:latin typeface="+mn-lt"/>
              <a:ea typeface="+mn-ea"/>
              <a:cs typeface="+mn-cs"/>
            </a:rPr>
            <a:t>et al </a:t>
          </a:r>
          <a:r>
            <a:rPr lang="en-US" sz="1400" baseline="0">
              <a:solidFill>
                <a:schemeClr val="dk1"/>
              </a:solidFill>
              <a:effectLst/>
              <a:latin typeface="+mn-lt"/>
              <a:ea typeface="+mn-ea"/>
              <a:cs typeface="+mn-cs"/>
            </a:rPr>
            <a:t>(2008) meta-analysis</a:t>
          </a:r>
          <a:endParaRPr lang="en-US" sz="14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RICKETTS, T. H., REGETZ, J., STEFFAN-DEWENTER, I., CUNNINGHAM, S. A., KREMEN, C., BOGDANSKI, A., GEMMILL-HERREN, B., GREENLEAF, S. S., KLEIN, A. M., MAYFIELD, M. M., MORANDIN, L. A., OCHIENG, A. &amp; VIANA, B. F. 2008. Landscape effects on crop pollination services: are there general patterns? </a:t>
          </a:r>
          <a:r>
            <a:rPr lang="en-US" sz="1400" b="1" i="1">
              <a:solidFill>
                <a:schemeClr val="dk1"/>
              </a:solidFill>
              <a:effectLst/>
              <a:latin typeface="+mn-lt"/>
              <a:ea typeface="+mn-ea"/>
              <a:cs typeface="+mn-cs"/>
            </a:rPr>
            <a:t>Ecology Letters,</a:t>
          </a:r>
          <a:r>
            <a:rPr lang="en-US" sz="1400" b="1">
              <a:solidFill>
                <a:schemeClr val="dk1"/>
              </a:solidFill>
              <a:effectLst/>
              <a:latin typeface="+mn-lt"/>
              <a:ea typeface="+mn-ea"/>
              <a:cs typeface="+mn-cs"/>
            </a:rPr>
            <a:t> 11, 499-515.</a:t>
          </a:r>
          <a:endParaRPr lang="en-GB" sz="1400" b="1">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1143000</xdr:colOff>
      <xdr:row>18</xdr:row>
      <xdr:rowOff>76200</xdr:rowOff>
    </xdr:from>
    <xdr:to>
      <xdr:col>14</xdr:col>
      <xdr:colOff>431800</xdr:colOff>
      <xdr:row>45</xdr:row>
      <xdr:rowOff>50800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317500</xdr:colOff>
      <xdr:row>11</xdr:row>
      <xdr:rowOff>165100</xdr:rowOff>
    </xdr:from>
    <xdr:ext cx="4699000" cy="968983"/>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6172200" y="2311400"/>
          <a:ext cx="4699000" cy="968983"/>
        </a:xfrm>
        <a:prstGeom prst="rect">
          <a:avLst/>
        </a:prstGeom>
        <a:solidFill>
          <a:srgbClr val="FFC000"/>
        </a:solidFill>
        <a:ln>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317500</xdr:colOff>
      <xdr:row>11</xdr:row>
      <xdr:rowOff>165100</xdr:rowOff>
    </xdr:from>
    <xdr:ext cx="4699000" cy="968983"/>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6172200" y="2311400"/>
          <a:ext cx="4699000" cy="968983"/>
        </a:xfrm>
        <a:prstGeom prst="rect">
          <a:avLst/>
        </a:prstGeom>
        <a:solidFill>
          <a:srgbClr val="FFC000"/>
        </a:solidFill>
        <a:ln>
          <a:solidFill>
            <a:schemeClr val="accent1"/>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chemeClr val="accent1">
                  <a:lumMod val="75000"/>
                </a:schemeClr>
              </a:solidFill>
            </a:rPr>
            <a:t>Legend: </a:t>
          </a:r>
        </a:p>
        <a:p>
          <a:r>
            <a:rPr lang="en-US" sz="1400">
              <a:solidFill>
                <a:schemeClr val="accent1">
                  <a:lumMod val="75000"/>
                </a:schemeClr>
              </a:solidFill>
            </a:rPr>
            <a:t>Data</a:t>
          </a:r>
          <a:r>
            <a:rPr lang="en-US" sz="1400" baseline="0">
              <a:solidFill>
                <a:schemeClr val="accent1">
                  <a:lumMod val="75000"/>
                </a:schemeClr>
              </a:solidFill>
            </a:rPr>
            <a:t> in </a:t>
          </a:r>
          <a:r>
            <a:rPr lang="en-US" sz="1400">
              <a:solidFill>
                <a:schemeClr val="accent1">
                  <a:lumMod val="75000"/>
                </a:schemeClr>
              </a:solidFill>
            </a:rPr>
            <a:t>Blue: data collected in the field</a:t>
          </a:r>
        </a:p>
        <a:p>
          <a:r>
            <a:rPr lang="en-US" sz="1400">
              <a:solidFill>
                <a:schemeClr val="accent1">
                  <a:lumMod val="75000"/>
                </a:schemeClr>
              </a:solidFill>
            </a:rPr>
            <a:t>Data in Red: Information</a:t>
          </a:r>
          <a:r>
            <a:rPr lang="en-US" sz="1400" baseline="0">
              <a:solidFill>
                <a:schemeClr val="accent1">
                  <a:lumMod val="75000"/>
                </a:schemeClr>
              </a:solidFill>
            </a:rPr>
            <a:t> gathered through stakeholder meeting or calculations</a:t>
          </a:r>
          <a:endParaRPr lang="en-US" sz="1400">
            <a:solidFill>
              <a:schemeClr val="accent1">
                <a:lumMod val="75000"/>
              </a:schemeClr>
            </a:solidFill>
          </a:endParaRPr>
        </a:p>
      </xdr:txBody>
    </xdr:sp>
    <xdr:clientData/>
  </xdr:oneCellAnchor>
  <xdr:oneCellAnchor>
    <xdr:from>
      <xdr:col>7</xdr:col>
      <xdr:colOff>317500</xdr:colOff>
      <xdr:row>11</xdr:row>
      <xdr:rowOff>165100</xdr:rowOff>
    </xdr:from>
    <xdr:ext cx="4699000" cy="968983"/>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6172200" y="2425700"/>
          <a:ext cx="4699000" cy="968983"/>
        </a:xfrm>
        <a:prstGeom prst="rect">
          <a:avLst/>
        </a:prstGeom>
        <a:solidFill>
          <a:schemeClr val="accent2">
            <a:lumMod val="20000"/>
            <a:lumOff val="80000"/>
          </a:schemeClr>
        </a:solidFill>
        <a:ln>
          <a:solidFill>
            <a:schemeClr val="accent2">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chemeClr val="accent2">
                  <a:lumMod val="75000"/>
                </a:schemeClr>
              </a:solidFill>
            </a:rPr>
            <a:t>Legend: </a:t>
          </a:r>
        </a:p>
        <a:p>
          <a:r>
            <a:rPr lang="en-US" sz="1400">
              <a:solidFill>
                <a:schemeClr val="accent2">
                  <a:lumMod val="75000"/>
                </a:schemeClr>
              </a:solidFill>
            </a:rPr>
            <a:t>Data</a:t>
          </a:r>
          <a:r>
            <a:rPr lang="en-US" sz="1400" baseline="0">
              <a:solidFill>
                <a:schemeClr val="accent2">
                  <a:lumMod val="75000"/>
                </a:schemeClr>
              </a:solidFill>
            </a:rPr>
            <a:t> in </a:t>
          </a:r>
          <a:r>
            <a:rPr lang="en-US" sz="1400">
              <a:solidFill>
                <a:schemeClr val="accent2">
                  <a:lumMod val="75000"/>
                </a:schemeClr>
              </a:solidFill>
            </a:rPr>
            <a:t>Blue: data collected in the field</a:t>
          </a:r>
        </a:p>
        <a:p>
          <a:r>
            <a:rPr lang="en-US" sz="1400">
              <a:solidFill>
                <a:schemeClr val="accent2">
                  <a:lumMod val="75000"/>
                </a:schemeClr>
              </a:solidFill>
            </a:rPr>
            <a:t>Data in</a:t>
          </a:r>
          <a:r>
            <a:rPr lang="en-US" sz="1400" baseline="0">
              <a:solidFill>
                <a:schemeClr val="accent2">
                  <a:lumMod val="75000"/>
                </a:schemeClr>
              </a:solidFill>
            </a:rPr>
            <a:t> Green</a:t>
          </a:r>
          <a:r>
            <a:rPr lang="en-US" sz="1400">
              <a:solidFill>
                <a:schemeClr val="accent2">
                  <a:lumMod val="75000"/>
                </a:schemeClr>
              </a:solidFill>
            </a:rPr>
            <a:t>: Information</a:t>
          </a:r>
          <a:r>
            <a:rPr lang="en-US" sz="1400" baseline="0">
              <a:solidFill>
                <a:schemeClr val="accent2">
                  <a:lumMod val="75000"/>
                </a:schemeClr>
              </a:solidFill>
            </a:rPr>
            <a:t> gathered through stakeholder meeting or calculations</a:t>
          </a:r>
          <a:endParaRPr lang="en-US" sz="1400">
            <a:solidFill>
              <a:schemeClr val="accent2">
                <a:lumMod val="75000"/>
              </a:schemeClr>
            </a:solidFill>
          </a:endParaRPr>
        </a:p>
      </xdr:txBody>
    </xdr:sp>
    <xdr:clientData/>
  </xdr:oneCellAnchor>
  <xdr:oneCellAnchor>
    <xdr:from>
      <xdr:col>7</xdr:col>
      <xdr:colOff>317500</xdr:colOff>
      <xdr:row>11</xdr:row>
      <xdr:rowOff>165100</xdr:rowOff>
    </xdr:from>
    <xdr:ext cx="4699000" cy="968983"/>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705600" y="2425700"/>
          <a:ext cx="4699000" cy="968983"/>
        </a:xfrm>
        <a:prstGeom prst="rect">
          <a:avLst/>
        </a:prstGeom>
        <a:solidFill>
          <a:srgbClr val="FFC000"/>
        </a:solidFill>
        <a:ln>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oneCellAnchor>
    <xdr:from>
      <xdr:col>7</xdr:col>
      <xdr:colOff>317500</xdr:colOff>
      <xdr:row>11</xdr:row>
      <xdr:rowOff>165100</xdr:rowOff>
    </xdr:from>
    <xdr:ext cx="4699000" cy="968983"/>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6705600" y="2425700"/>
          <a:ext cx="4699000" cy="968983"/>
        </a:xfrm>
        <a:prstGeom prst="rect">
          <a:avLst/>
        </a:prstGeom>
        <a:solidFill>
          <a:srgbClr val="FFC000"/>
        </a:solidFill>
        <a:ln>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twoCellAnchor>
    <xdr:from>
      <xdr:col>9</xdr:col>
      <xdr:colOff>939800</xdr:colOff>
      <xdr:row>17</xdr:row>
      <xdr:rowOff>152400</xdr:rowOff>
    </xdr:from>
    <xdr:to>
      <xdr:col>14</xdr:col>
      <xdr:colOff>1016000</xdr:colOff>
      <xdr:row>46</xdr:row>
      <xdr:rowOff>127000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6</xdr:col>
      <xdr:colOff>304800</xdr:colOff>
      <xdr:row>17</xdr:row>
      <xdr:rowOff>25400</xdr:rowOff>
    </xdr:from>
    <xdr:ext cx="4699000" cy="968983"/>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778500" y="3632200"/>
          <a:ext cx="4699000" cy="968983"/>
        </a:xfrm>
        <a:prstGeom prst="rect">
          <a:avLst/>
        </a:prstGeom>
        <a:solidFill>
          <a:schemeClr val="accent6">
            <a:lumMod val="40000"/>
            <a:lumOff val="60000"/>
          </a:schemeClr>
        </a:solid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twoCellAnchor>
    <xdr:from>
      <xdr:col>10</xdr:col>
      <xdr:colOff>1016000</xdr:colOff>
      <xdr:row>13</xdr:row>
      <xdr:rowOff>177800</xdr:rowOff>
    </xdr:from>
    <xdr:to>
      <xdr:col>15</xdr:col>
      <xdr:colOff>469900</xdr:colOff>
      <xdr:row>42</xdr:row>
      <xdr:rowOff>38100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7</xdr:col>
      <xdr:colOff>152400</xdr:colOff>
      <xdr:row>14</xdr:row>
      <xdr:rowOff>152400</xdr:rowOff>
    </xdr:from>
    <xdr:ext cx="4699000" cy="968983"/>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794500" y="3149600"/>
          <a:ext cx="4699000" cy="968983"/>
        </a:xfrm>
        <a:prstGeom prst="rect">
          <a:avLst/>
        </a:prstGeom>
        <a:solidFill>
          <a:schemeClr val="accent6">
            <a:lumMod val="40000"/>
            <a:lumOff val="60000"/>
          </a:schemeClr>
        </a:solid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spAutoFit/>
        </a:bodyPr>
        <a:lstStyle/>
        <a:p>
          <a:r>
            <a:rPr lang="en-US" sz="1400" b="1">
              <a:solidFill>
                <a:sysClr val="windowText" lastClr="000000"/>
              </a:solidFill>
            </a:rPr>
            <a:t>Legend: </a:t>
          </a:r>
        </a:p>
        <a:p>
          <a:r>
            <a:rPr lang="en-US" sz="1400">
              <a:solidFill>
                <a:sysClr val="windowText" lastClr="000000"/>
              </a:solidFill>
            </a:rPr>
            <a:t>Data</a:t>
          </a:r>
          <a:r>
            <a:rPr lang="en-US" sz="1400" baseline="0">
              <a:solidFill>
                <a:sysClr val="windowText" lastClr="000000"/>
              </a:solidFill>
            </a:rPr>
            <a:t> in </a:t>
          </a:r>
          <a:r>
            <a:rPr lang="en-US" sz="1400">
              <a:solidFill>
                <a:sysClr val="windowText" lastClr="000000"/>
              </a:solidFill>
            </a:rPr>
            <a:t>Blue: data collected in the field</a:t>
          </a:r>
        </a:p>
        <a:p>
          <a:r>
            <a:rPr lang="en-US" sz="1400">
              <a:solidFill>
                <a:sysClr val="windowText" lastClr="000000"/>
              </a:solidFill>
            </a:rPr>
            <a:t>Data in</a:t>
          </a:r>
          <a:r>
            <a:rPr lang="en-US" sz="1400" baseline="0">
              <a:solidFill>
                <a:sysClr val="windowText" lastClr="000000"/>
              </a:solidFill>
            </a:rPr>
            <a:t> Green</a:t>
          </a:r>
          <a:r>
            <a:rPr lang="en-US" sz="1400">
              <a:solidFill>
                <a:sysClr val="windowText" lastClr="000000"/>
              </a:solidFill>
            </a:rPr>
            <a:t>: Information</a:t>
          </a:r>
          <a:r>
            <a:rPr lang="en-US" sz="1400" baseline="0">
              <a:solidFill>
                <a:sysClr val="windowText" lastClr="000000"/>
              </a:solidFill>
            </a:rPr>
            <a:t> gathered through stakeholder meeting or calculations</a:t>
          </a:r>
          <a:endParaRPr lang="en-US" sz="1400">
            <a:solidFill>
              <a:sysClr val="windowText" lastClr="000000"/>
            </a:solidFill>
          </a:endParaRPr>
        </a:p>
      </xdr:txBody>
    </xdr:sp>
    <xdr:clientData/>
  </xdr:oneCellAnchor>
  <xdr:twoCellAnchor>
    <xdr:from>
      <xdr:col>11</xdr:col>
      <xdr:colOff>1219200</xdr:colOff>
      <xdr:row>10</xdr:row>
      <xdr:rowOff>12700</xdr:rowOff>
    </xdr:from>
    <xdr:to>
      <xdr:col>19</xdr:col>
      <xdr:colOff>241300</xdr:colOff>
      <xdr:row>38</xdr:row>
      <xdr:rowOff>127000</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workbookViewId="0"/>
  </sheetViews>
  <sheetFormatPr defaultColWidth="8.875" defaultRowHeight="15.75" x14ac:dyDescent="0.25"/>
  <cols>
    <col min="1" max="1" width="15.625" bestFit="1" customWidth="1"/>
    <col min="2" max="2" width="11.5" bestFit="1" customWidth="1"/>
    <col min="3" max="3" width="24.125" bestFit="1" customWidth="1"/>
    <col min="4" max="4" width="37.625" bestFit="1" customWidth="1"/>
    <col min="5" max="5" width="55.5" bestFit="1" customWidth="1"/>
    <col min="6" max="6" width="21.625" bestFit="1" customWidth="1"/>
    <col min="7" max="7" width="7.375" bestFit="1" customWidth="1"/>
    <col min="8" max="8" width="14.5" bestFit="1" customWidth="1"/>
    <col min="9" max="9" width="20.5" bestFit="1" customWidth="1"/>
    <col min="10" max="10" width="22.125" bestFit="1" customWidth="1"/>
    <col min="11" max="11" width="40.625" bestFit="1" customWidth="1"/>
  </cols>
  <sheetData>
    <row r="1" spans="1:11" ht="21" x14ac:dyDescent="0.35">
      <c r="A1" s="24" t="s">
        <v>172</v>
      </c>
      <c r="B1" s="19"/>
      <c r="C1" s="19"/>
      <c r="D1" s="19"/>
      <c r="E1" s="19"/>
      <c r="F1" s="19"/>
      <c r="G1" s="19"/>
      <c r="H1" s="17"/>
      <c r="I1" s="17"/>
    </row>
    <row r="2" spans="1:11" ht="21" x14ac:dyDescent="0.35">
      <c r="A2" s="24" t="s">
        <v>147</v>
      </c>
      <c r="B2" s="19"/>
      <c r="C2" s="19"/>
      <c r="D2" s="19"/>
      <c r="E2" s="19"/>
      <c r="F2" s="19"/>
      <c r="G2" s="19"/>
      <c r="H2" s="17"/>
      <c r="I2" s="17"/>
    </row>
    <row r="3" spans="1:11" ht="21" x14ac:dyDescent="0.35">
      <c r="A3" s="24" t="s">
        <v>46</v>
      </c>
      <c r="B3" s="20"/>
      <c r="C3" s="20"/>
      <c r="D3" s="20"/>
      <c r="E3" s="20"/>
      <c r="F3" s="20"/>
      <c r="G3" s="20"/>
      <c r="H3" s="17"/>
      <c r="I3" s="17"/>
    </row>
    <row r="4" spans="1:11" x14ac:dyDescent="0.25">
      <c r="A4" s="1"/>
    </row>
    <row r="5" spans="1:11" s="21" customFormat="1" ht="18" x14ac:dyDescent="0.25">
      <c r="A5" s="91" t="s">
        <v>4</v>
      </c>
      <c r="B5" s="55" t="s">
        <v>150</v>
      </c>
      <c r="C5" s="55" t="s">
        <v>6</v>
      </c>
      <c r="D5" s="55" t="s">
        <v>160</v>
      </c>
      <c r="E5" s="55" t="s">
        <v>170</v>
      </c>
      <c r="F5" s="55" t="s">
        <v>152</v>
      </c>
      <c r="G5" s="55" t="s">
        <v>167</v>
      </c>
      <c r="H5" s="55" t="s">
        <v>35</v>
      </c>
      <c r="I5" s="55" t="s">
        <v>5</v>
      </c>
      <c r="J5" s="55" t="s">
        <v>168</v>
      </c>
      <c r="K5" s="55" t="s">
        <v>169</v>
      </c>
    </row>
    <row r="6" spans="1:11" s="21" customFormat="1" x14ac:dyDescent="0.25">
      <c r="A6" s="22" t="s">
        <v>76</v>
      </c>
      <c r="B6" s="58">
        <v>0</v>
      </c>
      <c r="C6" s="8">
        <v>1</v>
      </c>
      <c r="D6" s="11">
        <v>5.89</v>
      </c>
      <c r="E6" s="11">
        <f>D6*I6</f>
        <v>1.4724999999999999</v>
      </c>
      <c r="F6" s="11">
        <v>156.27000000000001</v>
      </c>
      <c r="G6" s="12">
        <f>E6*F6</f>
        <v>230.107575</v>
      </c>
      <c r="H6" s="60">
        <f>G6-G9</f>
        <v>148.77497526206884</v>
      </c>
      <c r="I6" s="13">
        <v>0.25</v>
      </c>
      <c r="J6" s="11">
        <v>45</v>
      </c>
      <c r="K6" s="14">
        <f>H11*J6</f>
        <v>3590.9080048579185</v>
      </c>
    </row>
    <row r="7" spans="1:11" x14ac:dyDescent="0.25">
      <c r="A7" s="22" t="s">
        <v>142</v>
      </c>
      <c r="B7" s="59">
        <v>50</v>
      </c>
      <c r="C7" s="8">
        <f xml:space="preserve"> 1*EXP(-0.00104*50)</f>
        <v>0.94932886684288953</v>
      </c>
      <c r="D7" s="11">
        <v>5.89</v>
      </c>
      <c r="E7" s="11">
        <f>D7*I6</f>
        <v>1.4724999999999999</v>
      </c>
      <c r="F7" s="11">
        <v>156.27000000000001</v>
      </c>
      <c r="G7" s="12">
        <f>(G6*C7)/C6</f>
        <v>218.44776342671523</v>
      </c>
      <c r="H7" s="12">
        <f>G7-G9</f>
        <v>137.11516368878407</v>
      </c>
      <c r="I7" s="11"/>
      <c r="J7" s="11"/>
      <c r="K7" s="11"/>
    </row>
    <row r="8" spans="1:11" x14ac:dyDescent="0.25">
      <c r="A8" s="22" t="s">
        <v>143</v>
      </c>
      <c r="B8" s="59">
        <v>670</v>
      </c>
      <c r="C8" s="8">
        <f xml:space="preserve"> 1*EXP(-0.00104*670)</f>
        <v>0.49817692199448632</v>
      </c>
      <c r="D8" s="11">
        <v>5.89</v>
      </c>
      <c r="E8" s="11">
        <f>D8*I6</f>
        <v>1.4724999999999999</v>
      </c>
      <c r="F8" s="11">
        <v>156.27000000000001</v>
      </c>
      <c r="G8" s="12">
        <f>(G6*C8)/C6</f>
        <v>114.63428344111541</v>
      </c>
      <c r="H8" s="12">
        <f>G8-G9</f>
        <v>33.301683703184253</v>
      </c>
      <c r="I8" s="11"/>
      <c r="J8" s="11"/>
      <c r="K8" s="11"/>
    </row>
    <row r="9" spans="1:11" x14ac:dyDescent="0.25">
      <c r="A9" s="22" t="s">
        <v>144</v>
      </c>
      <c r="B9" s="59">
        <v>1000</v>
      </c>
      <c r="C9" s="8">
        <f xml:space="preserve"> 1*EXP(-0.00104*1000)</f>
        <v>0.35345468195878021</v>
      </c>
      <c r="D9" s="11">
        <v>5.89</v>
      </c>
      <c r="E9" s="11">
        <f>D9*I6</f>
        <v>1.4724999999999999</v>
      </c>
      <c r="F9" s="11">
        <v>156.27000000000001</v>
      </c>
      <c r="G9" s="12">
        <f>(G6*C9)/C6</f>
        <v>81.332599737931162</v>
      </c>
      <c r="H9" s="15">
        <v>0</v>
      </c>
      <c r="I9" s="11"/>
      <c r="J9" s="11"/>
      <c r="K9" s="11"/>
    </row>
    <row r="10" spans="1:11" ht="18" x14ac:dyDescent="0.25">
      <c r="A10" s="4"/>
      <c r="H10" s="55" t="s">
        <v>166</v>
      </c>
    </row>
    <row r="11" spans="1:11" x14ac:dyDescent="0.25">
      <c r="H11" s="12">
        <f>AVERAGE(H6:H9)</f>
        <v>79.797955663509299</v>
      </c>
    </row>
    <row r="17" spans="11:11" x14ac:dyDescent="0.25">
      <c r="K17" s="18"/>
    </row>
  </sheetData>
  <pageMargins left="0.7" right="0.7" top="0.75" bottom="0.75" header="0.3" footer="0.3"/>
  <pageSetup paperSize="9"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workbookViewId="0"/>
  </sheetViews>
  <sheetFormatPr defaultColWidth="8.875" defaultRowHeight="15.75" x14ac:dyDescent="0.25"/>
  <cols>
    <col min="1" max="1" width="15.625" bestFit="1" customWidth="1"/>
    <col min="2" max="2" width="11.5" bestFit="1" customWidth="1"/>
    <col min="3" max="3" width="24.125" bestFit="1" customWidth="1"/>
    <col min="4" max="4" width="38" bestFit="1" customWidth="1"/>
    <col min="5" max="5" width="54.125" bestFit="1" customWidth="1"/>
    <col min="6" max="6" width="21.625" bestFit="1" customWidth="1"/>
    <col min="7" max="7" width="6.375" bestFit="1" customWidth="1"/>
    <col min="8" max="8" width="14.5" bestFit="1" customWidth="1"/>
    <col min="9" max="9" width="20.5" bestFit="1" customWidth="1"/>
    <col min="10" max="10" width="25.125" bestFit="1" customWidth="1"/>
    <col min="11" max="11" width="35.625" bestFit="1" customWidth="1"/>
  </cols>
  <sheetData>
    <row r="1" spans="1:11" ht="21" x14ac:dyDescent="0.35">
      <c r="A1" s="24" t="s">
        <v>173</v>
      </c>
      <c r="B1" s="16"/>
      <c r="C1" s="16"/>
      <c r="D1" s="16"/>
      <c r="E1" s="16"/>
      <c r="F1" s="16"/>
      <c r="G1" s="16"/>
      <c r="H1" s="17"/>
      <c r="I1" s="17"/>
    </row>
    <row r="2" spans="1:11" ht="21" x14ac:dyDescent="0.35">
      <c r="A2" s="24" t="s">
        <v>148</v>
      </c>
      <c r="B2" s="16"/>
      <c r="C2" s="16"/>
      <c r="D2" s="16"/>
      <c r="E2" s="16"/>
      <c r="F2" s="16"/>
      <c r="G2" s="16"/>
      <c r="H2" s="17"/>
      <c r="I2" s="17"/>
    </row>
    <row r="3" spans="1:11" ht="21" x14ac:dyDescent="0.35">
      <c r="A3" s="24" t="s">
        <v>46</v>
      </c>
      <c r="B3" s="17"/>
      <c r="C3" s="17"/>
      <c r="D3" s="17"/>
      <c r="E3" s="17"/>
      <c r="F3" s="17"/>
      <c r="G3" s="17"/>
      <c r="H3" s="17"/>
      <c r="I3" s="17"/>
    </row>
    <row r="4" spans="1:11" x14ac:dyDescent="0.25">
      <c r="A4" s="1"/>
    </row>
    <row r="5" spans="1:11" s="21" customFormat="1" ht="18" x14ac:dyDescent="0.25">
      <c r="A5" s="91" t="s">
        <v>4</v>
      </c>
      <c r="B5" s="55" t="s">
        <v>150</v>
      </c>
      <c r="C5" s="55" t="s">
        <v>6</v>
      </c>
      <c r="D5" s="55" t="s">
        <v>159</v>
      </c>
      <c r="E5" s="55" t="s">
        <v>170</v>
      </c>
      <c r="F5" s="55" t="s">
        <v>152</v>
      </c>
      <c r="G5" s="55" t="s">
        <v>167</v>
      </c>
      <c r="H5" s="55" t="s">
        <v>35</v>
      </c>
      <c r="I5" s="55" t="s">
        <v>5</v>
      </c>
      <c r="J5" s="55" t="s">
        <v>154</v>
      </c>
      <c r="K5" s="55" t="s">
        <v>153</v>
      </c>
    </row>
    <row r="6" spans="1:11" x14ac:dyDescent="0.25">
      <c r="A6" s="22" t="s">
        <v>76</v>
      </c>
      <c r="B6" s="58">
        <v>0</v>
      </c>
      <c r="C6" s="8">
        <v>1</v>
      </c>
      <c r="D6" s="11">
        <v>5</v>
      </c>
      <c r="E6" s="11">
        <f>D6*I6</f>
        <v>1.75</v>
      </c>
      <c r="F6" s="11">
        <v>15</v>
      </c>
      <c r="G6" s="12">
        <f>E6*F6</f>
        <v>26.25</v>
      </c>
      <c r="H6" s="12">
        <f>G6-G9</f>
        <v>16.971814598582021</v>
      </c>
      <c r="I6" s="13">
        <v>0.35</v>
      </c>
      <c r="J6" s="11">
        <v>420</v>
      </c>
      <c r="K6" s="14">
        <f>H11*J6</f>
        <v>2579.821881047942</v>
      </c>
    </row>
    <row r="7" spans="1:11" x14ac:dyDescent="0.25">
      <c r="A7" s="22" t="s">
        <v>142</v>
      </c>
      <c r="B7" s="59">
        <v>50</v>
      </c>
      <c r="C7" s="8">
        <f xml:space="preserve"> 1*EXP(-0.00104*670)</f>
        <v>0.49817692199448632</v>
      </c>
      <c r="D7" s="11">
        <v>5</v>
      </c>
      <c r="E7" s="11">
        <f>D7*I6</f>
        <v>1.75</v>
      </c>
      <c r="F7" s="11">
        <v>15</v>
      </c>
      <c r="G7" s="12">
        <f>(G6*C7)/C6</f>
        <v>13.077144202355266</v>
      </c>
      <c r="H7" s="12">
        <f>G7-G9</f>
        <v>3.7989588009372852</v>
      </c>
      <c r="I7" s="11"/>
      <c r="J7" s="11"/>
      <c r="K7" s="11"/>
    </row>
    <row r="8" spans="1:11" x14ac:dyDescent="0.25">
      <c r="A8" s="22" t="s">
        <v>143</v>
      </c>
      <c r="B8" s="59">
        <v>670</v>
      </c>
      <c r="C8" s="8">
        <f xml:space="preserve"> 1*EXP(-0.00104*670)</f>
        <v>0.49817692199448632</v>
      </c>
      <c r="D8" s="11">
        <v>5</v>
      </c>
      <c r="E8" s="11">
        <f>D8*I6</f>
        <v>1.75</v>
      </c>
      <c r="F8" s="11">
        <v>15</v>
      </c>
      <c r="G8" s="12">
        <f>G6*C8/C6</f>
        <v>13.077144202355266</v>
      </c>
      <c r="H8" s="12">
        <f>G8-G9</f>
        <v>3.7989588009372852</v>
      </c>
      <c r="I8" s="11"/>
      <c r="J8" s="11"/>
      <c r="K8" s="11"/>
    </row>
    <row r="9" spans="1:11" x14ac:dyDescent="0.25">
      <c r="A9" s="22" t="s">
        <v>144</v>
      </c>
      <c r="B9" s="59">
        <v>1000</v>
      </c>
      <c r="C9" s="8">
        <f xml:space="preserve"> 1*EXP(-0.00104*1000)</f>
        <v>0.35345468195878021</v>
      </c>
      <c r="D9" s="11">
        <v>5</v>
      </c>
      <c r="E9" s="11">
        <v>1.75</v>
      </c>
      <c r="F9" s="11">
        <v>15</v>
      </c>
      <c r="G9" s="12">
        <f>G6*C9/C6</f>
        <v>9.2781854014179803</v>
      </c>
      <c r="H9" s="15">
        <v>0</v>
      </c>
      <c r="I9" s="11"/>
      <c r="J9" s="11"/>
      <c r="K9" s="11"/>
    </row>
    <row r="10" spans="1:11" ht="18" x14ac:dyDescent="0.25">
      <c r="A10" s="4"/>
      <c r="H10" s="55" t="s">
        <v>166</v>
      </c>
    </row>
    <row r="11" spans="1:11" x14ac:dyDescent="0.25">
      <c r="H11" s="12">
        <f>AVERAGE(H6:H9)</f>
        <v>6.142433050114148</v>
      </c>
    </row>
    <row r="17" spans="11:11" x14ac:dyDescent="0.25">
      <c r="K17" s="18"/>
    </row>
  </sheetData>
  <pageMargins left="0.7" right="0.7" top="0.75" bottom="0.75" header="0.3" footer="0.3"/>
  <pageSetup paperSize="9" orientation="portrait"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4"/>
  <sheetViews>
    <sheetView workbookViewId="0"/>
  </sheetViews>
  <sheetFormatPr defaultColWidth="11" defaultRowHeight="15.75" x14ac:dyDescent="0.25"/>
  <cols>
    <col min="1" max="1" width="8.625" customWidth="1"/>
    <col min="2" max="2" width="16.375" bestFit="1" customWidth="1"/>
    <col min="3" max="3" width="6.125" customWidth="1"/>
    <col min="4" max="4" width="12.625" bestFit="1" customWidth="1"/>
    <col min="5" max="5" width="15.5" bestFit="1" customWidth="1"/>
    <col min="6" max="6" width="11.375" bestFit="1" customWidth="1"/>
    <col min="7" max="7" width="18.625" bestFit="1" customWidth="1"/>
    <col min="8" max="8" width="15.375" bestFit="1" customWidth="1"/>
    <col min="9" max="9" width="16.125" bestFit="1" customWidth="1"/>
    <col min="10" max="10" width="23.5" bestFit="1" customWidth="1"/>
    <col min="11" max="11" width="37.625" bestFit="1" customWidth="1"/>
    <col min="12" max="12" width="20.5" bestFit="1" customWidth="1"/>
    <col min="13" max="13" width="53.625" bestFit="1" customWidth="1"/>
    <col min="14" max="14" width="21.625" bestFit="1" customWidth="1"/>
    <col min="15" max="15" width="8.875" bestFit="1" customWidth="1"/>
    <col min="16" max="16" width="14.125" bestFit="1" customWidth="1"/>
    <col min="17" max="17" width="24.625" bestFit="1" customWidth="1"/>
    <col min="18" max="18" width="39.625" bestFit="1" customWidth="1"/>
  </cols>
  <sheetData>
    <row r="1" spans="1:18" s="1" customFormat="1" ht="18.75" x14ac:dyDescent="0.3">
      <c r="A1" s="24" t="s">
        <v>174</v>
      </c>
      <c r="B1" s="9"/>
      <c r="C1" s="9"/>
      <c r="D1" s="9"/>
      <c r="E1" s="9"/>
      <c r="F1" s="9"/>
      <c r="G1" s="9"/>
      <c r="H1" s="9"/>
      <c r="I1" s="9"/>
      <c r="J1" s="9"/>
      <c r="K1" s="10"/>
    </row>
    <row r="2" spans="1:18" s="1" customFormat="1" ht="18.75" x14ac:dyDescent="0.3">
      <c r="A2" s="24" t="s">
        <v>147</v>
      </c>
      <c r="B2" s="9"/>
      <c r="C2" s="9"/>
      <c r="D2" s="9"/>
      <c r="E2" s="9"/>
      <c r="F2" s="9"/>
      <c r="G2" s="9"/>
      <c r="H2" s="9"/>
      <c r="I2" s="9"/>
      <c r="J2" s="9"/>
      <c r="K2" s="10"/>
    </row>
    <row r="3" spans="1:18" s="1" customFormat="1" ht="18.75" x14ac:dyDescent="0.3">
      <c r="A3" s="24" t="s">
        <v>46</v>
      </c>
      <c r="B3" s="9"/>
      <c r="C3" s="9"/>
      <c r="D3" s="9"/>
      <c r="E3" s="9"/>
      <c r="F3" s="9"/>
      <c r="G3" s="9"/>
      <c r="H3" s="9"/>
      <c r="I3" s="9"/>
      <c r="J3" s="9"/>
      <c r="K3" s="10"/>
    </row>
    <row r="4" spans="1:18" x14ac:dyDescent="0.25">
      <c r="E4" s="25"/>
    </row>
    <row r="5" spans="1:18" s="23" customFormat="1" ht="15.75" customHeight="1" x14ac:dyDescent="0.25">
      <c r="A5" s="57" t="s">
        <v>4</v>
      </c>
      <c r="B5" s="82" t="s">
        <v>47</v>
      </c>
      <c r="C5" s="57" t="s">
        <v>0</v>
      </c>
      <c r="D5" s="57" t="s">
        <v>162</v>
      </c>
      <c r="E5" s="57" t="s">
        <v>161</v>
      </c>
      <c r="F5" s="57" t="s">
        <v>150</v>
      </c>
      <c r="G5" s="57" t="s">
        <v>151</v>
      </c>
      <c r="H5" s="89" t="s">
        <v>4</v>
      </c>
      <c r="I5" s="57" t="s">
        <v>48</v>
      </c>
      <c r="J5" s="57" t="s">
        <v>6</v>
      </c>
      <c r="K5" s="57" t="s">
        <v>160</v>
      </c>
      <c r="L5" s="57" t="s">
        <v>5</v>
      </c>
      <c r="M5" s="57" t="s">
        <v>163</v>
      </c>
      <c r="N5" s="57" t="s">
        <v>164</v>
      </c>
      <c r="O5" s="89" t="s">
        <v>167</v>
      </c>
      <c r="P5" s="57" t="s">
        <v>35</v>
      </c>
      <c r="Q5" s="57" t="s">
        <v>154</v>
      </c>
      <c r="R5" s="57" t="s">
        <v>165</v>
      </c>
    </row>
    <row r="6" spans="1:18" s="1" customFormat="1" ht="15.75" customHeight="1" x14ac:dyDescent="0.25">
      <c r="A6" s="95" t="s">
        <v>45</v>
      </c>
      <c r="B6" s="83">
        <v>1</v>
      </c>
      <c r="C6" s="29" t="s">
        <v>36</v>
      </c>
      <c r="D6" s="36">
        <v>13</v>
      </c>
      <c r="E6" s="36">
        <v>300</v>
      </c>
      <c r="F6" s="34">
        <v>0</v>
      </c>
      <c r="G6" s="38">
        <f t="shared" ref="G6:G14" si="0">(D6/E6)/15</f>
        <v>2.8888888888888892E-3</v>
      </c>
      <c r="H6" s="22" t="s">
        <v>76</v>
      </c>
      <c r="I6" s="6">
        <v>0</v>
      </c>
      <c r="J6" s="26">
        <f>AVERAGE(G6:G14)</f>
        <v>6.1728395061728409E-3</v>
      </c>
      <c r="K6" s="11">
        <v>5.89</v>
      </c>
      <c r="L6" s="13">
        <v>0.25</v>
      </c>
      <c r="M6" s="11">
        <f>K6*L6</f>
        <v>1.4724999999999999</v>
      </c>
      <c r="N6" s="11">
        <v>156.27000000000001</v>
      </c>
      <c r="O6" s="12">
        <f>M6*N6</f>
        <v>230.107575</v>
      </c>
      <c r="P6" s="12">
        <f>O6</f>
        <v>230.107575</v>
      </c>
      <c r="Q6" s="11">
        <v>45</v>
      </c>
      <c r="R6" s="14">
        <f>P12*Q6</f>
        <v>4270.152998712495</v>
      </c>
    </row>
    <row r="7" spans="1:18" s="1" customFormat="1" ht="15.75" customHeight="1" x14ac:dyDescent="0.25">
      <c r="A7" s="95"/>
      <c r="B7" s="84">
        <v>1</v>
      </c>
      <c r="C7" s="30" t="s">
        <v>37</v>
      </c>
      <c r="D7" s="37">
        <v>33</v>
      </c>
      <c r="E7" s="37">
        <v>300</v>
      </c>
      <c r="F7" s="35">
        <v>0</v>
      </c>
      <c r="G7" s="39">
        <f t="shared" si="0"/>
        <v>7.3333333333333332E-3</v>
      </c>
      <c r="H7" s="22" t="s">
        <v>142</v>
      </c>
      <c r="I7" s="7">
        <f>AVERAGE(F15:F23)</f>
        <v>51.666666666666664</v>
      </c>
      <c r="J7" s="26">
        <f>AVERAGE(G15:G23)</f>
        <v>5.7530864197530857E-3</v>
      </c>
      <c r="K7" s="11">
        <v>5.89</v>
      </c>
      <c r="L7" s="11"/>
      <c r="M7" s="11">
        <f>K7*L6</f>
        <v>1.4724999999999999</v>
      </c>
      <c r="N7" s="11">
        <v>156.27000000000001</v>
      </c>
      <c r="O7" s="12">
        <f>(O6*J7)/J6</f>
        <v>214.46025989999993</v>
      </c>
      <c r="P7" s="12">
        <f>O7-O10</f>
        <v>186.99396416712938</v>
      </c>
      <c r="Q7" s="11"/>
      <c r="R7" s="11"/>
    </row>
    <row r="8" spans="1:18" s="1" customFormat="1" ht="15.75" customHeight="1" x14ac:dyDescent="0.25">
      <c r="A8" s="95"/>
      <c r="B8" s="84">
        <v>1</v>
      </c>
      <c r="C8" s="30" t="s">
        <v>38</v>
      </c>
      <c r="D8" s="37">
        <v>45</v>
      </c>
      <c r="E8" s="37">
        <v>300</v>
      </c>
      <c r="F8" s="35">
        <v>0</v>
      </c>
      <c r="G8" s="39">
        <f t="shared" si="0"/>
        <v>0.01</v>
      </c>
      <c r="H8" s="22" t="s">
        <v>143</v>
      </c>
      <c r="I8" s="7">
        <f>AVERAGE(F24:F32)</f>
        <v>460.66666666666669</v>
      </c>
      <c r="J8" s="26">
        <f>AVERAGE(G24:G32)</f>
        <v>1.3086419753086422E-3</v>
      </c>
      <c r="K8" s="11">
        <v>5.89</v>
      </c>
      <c r="L8" s="11"/>
      <c r="M8" s="11">
        <f>K8*L6</f>
        <v>1.4724999999999999</v>
      </c>
      <c r="N8" s="11">
        <v>156.27000000000001</v>
      </c>
      <c r="O8" s="12">
        <f>(O6*J8)/J6</f>
        <v>48.782805899999993</v>
      </c>
      <c r="P8" s="12">
        <f>O8-O10</f>
        <v>21.316510167129447</v>
      </c>
      <c r="Q8" s="11"/>
      <c r="R8" s="11"/>
    </row>
    <row r="9" spans="1:18" s="1" customFormat="1" ht="15.75" customHeight="1" x14ac:dyDescent="0.25">
      <c r="A9" s="95"/>
      <c r="B9" s="84">
        <v>2</v>
      </c>
      <c r="C9" s="30" t="s">
        <v>39</v>
      </c>
      <c r="D9" s="37">
        <v>30</v>
      </c>
      <c r="E9" s="37">
        <v>300</v>
      </c>
      <c r="F9" s="35">
        <v>0</v>
      </c>
      <c r="G9" s="39">
        <f>(D9/E9)/15</f>
        <v>6.6666666666666671E-3</v>
      </c>
      <c r="H9" s="22" t="s">
        <v>144</v>
      </c>
      <c r="I9" s="7">
        <f>AVERAGE(F33:F41)</f>
        <v>826.33333333333337</v>
      </c>
      <c r="J9" s="26">
        <f>AVERAGE(G33:G41)</f>
        <v>1.7037037037037036E-3</v>
      </c>
      <c r="K9" s="11">
        <v>5.89</v>
      </c>
      <c r="L9" s="11"/>
      <c r="M9" s="11">
        <f>K9*L6</f>
        <v>1.4724999999999999</v>
      </c>
      <c r="N9" s="11">
        <v>156.27000000000001</v>
      </c>
      <c r="O9" s="12">
        <f>O6*J9/J6</f>
        <v>63.509690699999986</v>
      </c>
      <c r="P9" s="12">
        <f>O9-O10</f>
        <v>36.043394967129444</v>
      </c>
      <c r="Q9" s="11"/>
      <c r="R9" s="11"/>
    </row>
    <row r="10" spans="1:18" s="1" customFormat="1" ht="15.75" customHeight="1" x14ac:dyDescent="0.25">
      <c r="A10" s="95"/>
      <c r="B10" s="84">
        <v>2</v>
      </c>
      <c r="C10" s="30" t="s">
        <v>40</v>
      </c>
      <c r="D10" s="37">
        <v>30</v>
      </c>
      <c r="E10" s="37">
        <v>300</v>
      </c>
      <c r="F10" s="35">
        <v>0</v>
      </c>
      <c r="G10" s="39">
        <f t="shared" si="0"/>
        <v>6.6666666666666671E-3</v>
      </c>
      <c r="H10" s="22" t="s">
        <v>145</v>
      </c>
      <c r="I10" s="7">
        <v>1000</v>
      </c>
      <c r="J10" s="6"/>
      <c r="K10" s="11"/>
      <c r="L10" s="11"/>
      <c r="M10" s="11"/>
      <c r="N10" s="11"/>
      <c r="O10" s="12">
        <f>202.95*EXP(-0.002*1000)</f>
        <v>27.466295732870545</v>
      </c>
      <c r="P10" s="15">
        <v>0</v>
      </c>
      <c r="Q10" s="11"/>
      <c r="R10" s="11"/>
    </row>
    <row r="11" spans="1:18" s="1" customFormat="1" ht="15.75" customHeight="1" x14ac:dyDescent="0.25">
      <c r="A11" s="95"/>
      <c r="B11" s="84">
        <v>2</v>
      </c>
      <c r="C11" s="30" t="s">
        <v>41</v>
      </c>
      <c r="D11" s="37">
        <v>30</v>
      </c>
      <c r="E11" s="37">
        <v>300</v>
      </c>
      <c r="F11" s="35">
        <v>0</v>
      </c>
      <c r="G11" s="39">
        <f t="shared" si="0"/>
        <v>6.6666666666666671E-3</v>
      </c>
      <c r="H11" s="4"/>
      <c r="I11"/>
      <c r="J11"/>
      <c r="K11"/>
      <c r="L11"/>
      <c r="M11"/>
      <c r="N11"/>
      <c r="O11"/>
      <c r="P11" s="90" t="s">
        <v>166</v>
      </c>
      <c r="Q11"/>
      <c r="R11"/>
    </row>
    <row r="12" spans="1:18" s="1" customFormat="1" ht="15.75" customHeight="1" x14ac:dyDescent="0.25">
      <c r="A12" s="95"/>
      <c r="B12" s="84">
        <v>3</v>
      </c>
      <c r="C12" s="30" t="s">
        <v>42</v>
      </c>
      <c r="D12" s="37">
        <v>30</v>
      </c>
      <c r="E12" s="37">
        <v>300</v>
      </c>
      <c r="F12" s="35">
        <v>0</v>
      </c>
      <c r="G12" s="39">
        <f t="shared" si="0"/>
        <v>6.6666666666666671E-3</v>
      </c>
      <c r="H12"/>
      <c r="I12"/>
      <c r="J12"/>
      <c r="K12"/>
      <c r="L12"/>
      <c r="M12"/>
      <c r="N12"/>
      <c r="O12"/>
      <c r="P12" s="12">
        <f>AVERAGE(P6:P10)</f>
        <v>94.89228886027766</v>
      </c>
      <c r="Q12"/>
      <c r="R12"/>
    </row>
    <row r="13" spans="1:18" s="1" customFormat="1" ht="15.75" customHeight="1" x14ac:dyDescent="0.25">
      <c r="A13" s="95"/>
      <c r="B13" s="84">
        <v>3</v>
      </c>
      <c r="C13" s="30" t="s">
        <v>43</v>
      </c>
      <c r="D13" s="37">
        <v>20</v>
      </c>
      <c r="E13" s="37">
        <v>300</v>
      </c>
      <c r="F13" s="35">
        <v>0</v>
      </c>
      <c r="G13" s="39">
        <f t="shared" si="0"/>
        <v>4.4444444444444444E-3</v>
      </c>
    </row>
    <row r="14" spans="1:18" s="1" customFormat="1" x14ac:dyDescent="0.25">
      <c r="A14" s="95"/>
      <c r="B14" s="85">
        <v>3</v>
      </c>
      <c r="C14" s="30" t="s">
        <v>44</v>
      </c>
      <c r="D14" s="37">
        <v>19</v>
      </c>
      <c r="E14" s="37">
        <v>300</v>
      </c>
      <c r="F14" s="35">
        <v>0</v>
      </c>
      <c r="G14" s="39">
        <f t="shared" si="0"/>
        <v>4.2222222222222227E-3</v>
      </c>
    </row>
    <row r="15" spans="1:18" ht="15.75" customHeight="1" x14ac:dyDescent="0.25">
      <c r="A15" s="93" t="s">
        <v>142</v>
      </c>
      <c r="B15" s="83">
        <v>1</v>
      </c>
      <c r="C15" s="29" t="s">
        <v>8</v>
      </c>
      <c r="D15" s="36">
        <v>10</v>
      </c>
      <c r="E15" s="42">
        <v>300</v>
      </c>
      <c r="F15" s="45">
        <v>50</v>
      </c>
      <c r="G15" s="48">
        <f>(D15/E15)/15</f>
        <v>2.2222222222222222E-3</v>
      </c>
    </row>
    <row r="16" spans="1:18" x14ac:dyDescent="0.25">
      <c r="A16" s="93"/>
      <c r="B16" s="84">
        <v>1</v>
      </c>
      <c r="C16" s="30" t="s">
        <v>9</v>
      </c>
      <c r="D16" s="37">
        <v>29</v>
      </c>
      <c r="E16" s="43">
        <v>300</v>
      </c>
      <c r="F16" s="46">
        <v>50</v>
      </c>
      <c r="G16" s="49">
        <f>(D16/E16)/15</f>
        <v>6.4444444444444445E-3</v>
      </c>
    </row>
    <row r="17" spans="1:14" x14ac:dyDescent="0.25">
      <c r="A17" s="93"/>
      <c r="B17" s="84">
        <v>1</v>
      </c>
      <c r="C17" s="30" t="s">
        <v>10</v>
      </c>
      <c r="D17" s="37">
        <v>47</v>
      </c>
      <c r="E17" s="43">
        <v>300</v>
      </c>
      <c r="F17" s="46">
        <v>50</v>
      </c>
      <c r="G17" s="49">
        <f t="shared" ref="G17:G41" si="1">(D17/E17)/15</f>
        <v>1.0444444444444445E-2</v>
      </c>
    </row>
    <row r="18" spans="1:14" x14ac:dyDescent="0.25">
      <c r="A18" s="93"/>
      <c r="B18" s="84">
        <v>2</v>
      </c>
      <c r="C18" s="30" t="s">
        <v>11</v>
      </c>
      <c r="D18" s="37">
        <v>35</v>
      </c>
      <c r="E18" s="43">
        <v>300</v>
      </c>
      <c r="F18" s="46">
        <v>35</v>
      </c>
      <c r="G18" s="49">
        <f>(D18/E18)/15</f>
        <v>7.7777777777777776E-3</v>
      </c>
    </row>
    <row r="19" spans="1:14" x14ac:dyDescent="0.25">
      <c r="A19" s="93"/>
      <c r="B19" s="84">
        <v>2</v>
      </c>
      <c r="C19" s="30" t="s">
        <v>12</v>
      </c>
      <c r="D19" s="37">
        <v>23</v>
      </c>
      <c r="E19" s="43">
        <v>300</v>
      </c>
      <c r="F19" s="46">
        <v>35</v>
      </c>
      <c r="G19" s="49">
        <f t="shared" si="1"/>
        <v>5.1111111111111105E-3</v>
      </c>
    </row>
    <row r="20" spans="1:14" x14ac:dyDescent="0.25">
      <c r="A20" s="93"/>
      <c r="B20" s="84">
        <v>2</v>
      </c>
      <c r="C20" s="30" t="s">
        <v>13</v>
      </c>
      <c r="D20" s="37">
        <v>23</v>
      </c>
      <c r="E20" s="43">
        <v>300</v>
      </c>
      <c r="F20" s="46">
        <v>35</v>
      </c>
      <c r="G20" s="49">
        <f t="shared" si="1"/>
        <v>5.1111111111111105E-3</v>
      </c>
    </row>
    <row r="21" spans="1:14" x14ac:dyDescent="0.25">
      <c r="A21" s="93"/>
      <c r="B21" s="84">
        <v>3</v>
      </c>
      <c r="C21" s="30" t="s">
        <v>14</v>
      </c>
      <c r="D21" s="37">
        <v>23</v>
      </c>
      <c r="E21" s="43">
        <v>300</v>
      </c>
      <c r="F21" s="46">
        <v>70</v>
      </c>
      <c r="G21" s="49">
        <f t="shared" si="1"/>
        <v>5.1111111111111105E-3</v>
      </c>
      <c r="H21" s="4"/>
      <c r="N21" s="2"/>
    </row>
    <row r="22" spans="1:14" x14ac:dyDescent="0.25">
      <c r="A22" s="93"/>
      <c r="B22" s="84">
        <v>3</v>
      </c>
      <c r="C22" s="30" t="s">
        <v>15</v>
      </c>
      <c r="D22" s="37">
        <v>23</v>
      </c>
      <c r="E22" s="43">
        <v>300</v>
      </c>
      <c r="F22" s="46">
        <v>70</v>
      </c>
      <c r="G22" s="49">
        <f t="shared" si="1"/>
        <v>5.1111111111111105E-3</v>
      </c>
      <c r="H22" s="4"/>
    </row>
    <row r="23" spans="1:14" x14ac:dyDescent="0.25">
      <c r="A23" s="93"/>
      <c r="B23" s="85">
        <v>3</v>
      </c>
      <c r="C23" s="31" t="s">
        <v>16</v>
      </c>
      <c r="D23" s="41">
        <v>20</v>
      </c>
      <c r="E23" s="44">
        <v>300</v>
      </c>
      <c r="F23" s="47">
        <v>70</v>
      </c>
      <c r="G23" s="50">
        <f t="shared" si="1"/>
        <v>4.4444444444444444E-3</v>
      </c>
      <c r="H23" s="32"/>
    </row>
    <row r="24" spans="1:14" ht="15.75" customHeight="1" x14ac:dyDescent="0.25">
      <c r="A24" s="93" t="s">
        <v>157</v>
      </c>
      <c r="B24" s="83">
        <v>1</v>
      </c>
      <c r="C24" s="29" t="s">
        <v>17</v>
      </c>
      <c r="D24" s="42">
        <v>4</v>
      </c>
      <c r="E24" s="42">
        <v>300</v>
      </c>
      <c r="F24" s="45">
        <v>456</v>
      </c>
      <c r="G24" s="48">
        <f t="shared" si="1"/>
        <v>8.8888888888888893E-4</v>
      </c>
    </row>
    <row r="25" spans="1:14" x14ac:dyDescent="0.25">
      <c r="A25" s="93"/>
      <c r="B25" s="84">
        <v>1</v>
      </c>
      <c r="C25" s="30" t="s">
        <v>18</v>
      </c>
      <c r="D25" s="43">
        <v>2</v>
      </c>
      <c r="E25" s="33">
        <v>300</v>
      </c>
      <c r="F25" s="40">
        <v>456</v>
      </c>
      <c r="G25" s="51">
        <f t="shared" si="1"/>
        <v>4.4444444444444447E-4</v>
      </c>
    </row>
    <row r="26" spans="1:14" x14ac:dyDescent="0.25">
      <c r="A26" s="93"/>
      <c r="B26" s="84">
        <v>1</v>
      </c>
      <c r="C26" s="30" t="s">
        <v>19</v>
      </c>
      <c r="D26" s="43">
        <v>6</v>
      </c>
      <c r="E26" s="43">
        <v>300</v>
      </c>
      <c r="F26" s="46">
        <v>456</v>
      </c>
      <c r="G26" s="49">
        <f t="shared" si="1"/>
        <v>1.3333333333333333E-3</v>
      </c>
    </row>
    <row r="27" spans="1:14" x14ac:dyDescent="0.25">
      <c r="A27" s="93"/>
      <c r="B27" s="84">
        <v>2</v>
      </c>
      <c r="C27" s="30" t="s">
        <v>20</v>
      </c>
      <c r="D27" s="43">
        <v>7</v>
      </c>
      <c r="E27" s="43">
        <v>300</v>
      </c>
      <c r="F27" s="46">
        <v>366</v>
      </c>
      <c r="G27" s="49">
        <f t="shared" si="1"/>
        <v>1.5555555555555557E-3</v>
      </c>
    </row>
    <row r="28" spans="1:14" x14ac:dyDescent="0.25">
      <c r="A28" s="93"/>
      <c r="B28" s="84">
        <v>2</v>
      </c>
      <c r="C28" s="30" t="s">
        <v>21</v>
      </c>
      <c r="D28" s="43">
        <v>7</v>
      </c>
      <c r="E28" s="43">
        <v>300</v>
      </c>
      <c r="F28" s="46">
        <v>366</v>
      </c>
      <c r="G28" s="49">
        <f t="shared" si="1"/>
        <v>1.5555555555555557E-3</v>
      </c>
    </row>
    <row r="29" spans="1:14" x14ac:dyDescent="0.25">
      <c r="A29" s="93"/>
      <c r="B29" s="84">
        <v>2</v>
      </c>
      <c r="C29" s="30" t="s">
        <v>22</v>
      </c>
      <c r="D29" s="43">
        <v>7</v>
      </c>
      <c r="E29" s="43">
        <v>300</v>
      </c>
      <c r="F29" s="46">
        <v>366</v>
      </c>
      <c r="G29" s="49">
        <f t="shared" si="1"/>
        <v>1.5555555555555557E-3</v>
      </c>
    </row>
    <row r="30" spans="1:14" x14ac:dyDescent="0.25">
      <c r="A30" s="93"/>
      <c r="B30" s="84">
        <v>3</v>
      </c>
      <c r="C30" s="30" t="s">
        <v>23</v>
      </c>
      <c r="D30" s="43">
        <v>7</v>
      </c>
      <c r="E30" s="43">
        <v>300</v>
      </c>
      <c r="F30" s="46">
        <v>560</v>
      </c>
      <c r="G30" s="49">
        <f t="shared" si="1"/>
        <v>1.5555555555555557E-3</v>
      </c>
    </row>
    <row r="31" spans="1:14" x14ac:dyDescent="0.25">
      <c r="A31" s="93"/>
      <c r="B31" s="84">
        <v>3</v>
      </c>
      <c r="C31" s="30" t="s">
        <v>24</v>
      </c>
      <c r="D31" s="43">
        <v>6</v>
      </c>
      <c r="E31" s="43">
        <v>300</v>
      </c>
      <c r="F31" s="46">
        <v>560</v>
      </c>
      <c r="G31" s="49">
        <f t="shared" si="1"/>
        <v>1.3333333333333333E-3</v>
      </c>
    </row>
    <row r="32" spans="1:14" x14ac:dyDescent="0.25">
      <c r="A32" s="93"/>
      <c r="B32" s="85">
        <v>3</v>
      </c>
      <c r="C32" s="31" t="s">
        <v>25</v>
      </c>
      <c r="D32" s="44">
        <v>7</v>
      </c>
      <c r="E32" s="44">
        <v>300</v>
      </c>
      <c r="F32" s="47">
        <v>560</v>
      </c>
      <c r="G32" s="50">
        <f t="shared" si="1"/>
        <v>1.5555555555555557E-3</v>
      </c>
    </row>
    <row r="33" spans="1:9" ht="15.75" customHeight="1" x14ac:dyDescent="0.25">
      <c r="A33" s="94" t="s">
        <v>158</v>
      </c>
      <c r="B33" s="84">
        <v>1</v>
      </c>
      <c r="C33" s="29" t="s">
        <v>26</v>
      </c>
      <c r="D33" s="43">
        <v>7</v>
      </c>
      <c r="E33" s="36">
        <v>300</v>
      </c>
      <c r="F33" s="45">
        <v>845</v>
      </c>
      <c r="G33" s="51">
        <f t="shared" si="1"/>
        <v>1.5555555555555557E-3</v>
      </c>
    </row>
    <row r="34" spans="1:9" x14ac:dyDescent="0.25">
      <c r="A34" s="93"/>
      <c r="B34" s="84">
        <v>1</v>
      </c>
      <c r="C34" s="30" t="s">
        <v>27</v>
      </c>
      <c r="D34" s="43">
        <v>11</v>
      </c>
      <c r="E34" s="37">
        <v>300</v>
      </c>
      <c r="F34" s="46">
        <v>845</v>
      </c>
      <c r="G34" s="51">
        <f t="shared" si="1"/>
        <v>2.4444444444444444E-3</v>
      </c>
    </row>
    <row r="35" spans="1:9" x14ac:dyDescent="0.25">
      <c r="A35" s="93"/>
      <c r="B35" s="84">
        <v>1</v>
      </c>
      <c r="C35" s="30" t="s">
        <v>28</v>
      </c>
      <c r="D35" s="43">
        <v>11</v>
      </c>
      <c r="E35" s="37">
        <v>300</v>
      </c>
      <c r="F35" s="46">
        <v>845</v>
      </c>
      <c r="G35" s="51">
        <f t="shared" si="1"/>
        <v>2.4444444444444444E-3</v>
      </c>
    </row>
    <row r="36" spans="1:9" x14ac:dyDescent="0.25">
      <c r="A36" s="93"/>
      <c r="B36" s="84">
        <v>2</v>
      </c>
      <c r="C36" s="30" t="s">
        <v>29</v>
      </c>
      <c r="D36" s="43">
        <v>11</v>
      </c>
      <c r="E36" s="37">
        <v>300</v>
      </c>
      <c r="F36" s="46">
        <v>900</v>
      </c>
      <c r="G36" s="51">
        <f t="shared" si="1"/>
        <v>2.4444444444444444E-3</v>
      </c>
    </row>
    <row r="37" spans="1:9" x14ac:dyDescent="0.25">
      <c r="A37" s="93"/>
      <c r="B37" s="84">
        <v>2</v>
      </c>
      <c r="C37" s="30" t="s">
        <v>30</v>
      </c>
      <c r="D37" s="43">
        <v>4</v>
      </c>
      <c r="E37" s="37">
        <v>300</v>
      </c>
      <c r="F37" s="46">
        <v>900</v>
      </c>
      <c r="G37" s="51">
        <f t="shared" si="1"/>
        <v>8.8888888888888893E-4</v>
      </c>
    </row>
    <row r="38" spans="1:9" x14ac:dyDescent="0.25">
      <c r="A38" s="93"/>
      <c r="B38" s="84">
        <v>2</v>
      </c>
      <c r="C38" s="30" t="s">
        <v>31</v>
      </c>
      <c r="D38" s="43">
        <v>8</v>
      </c>
      <c r="E38" s="37">
        <v>300</v>
      </c>
      <c r="F38" s="46">
        <v>900</v>
      </c>
      <c r="G38" s="51">
        <f t="shared" si="1"/>
        <v>1.7777777777777779E-3</v>
      </c>
      <c r="I38" s="25"/>
    </row>
    <row r="39" spans="1:9" x14ac:dyDescent="0.25">
      <c r="A39" s="93"/>
      <c r="B39" s="84">
        <v>3</v>
      </c>
      <c r="C39" s="30" t="s">
        <v>32</v>
      </c>
      <c r="D39" s="43">
        <v>5</v>
      </c>
      <c r="E39" s="37">
        <v>300</v>
      </c>
      <c r="F39" s="46">
        <v>734</v>
      </c>
      <c r="G39" s="51">
        <f t="shared" si="1"/>
        <v>1.1111111111111111E-3</v>
      </c>
      <c r="I39" s="25"/>
    </row>
    <row r="40" spans="1:9" x14ac:dyDescent="0.25">
      <c r="A40" s="93"/>
      <c r="B40" s="84">
        <v>3</v>
      </c>
      <c r="C40" s="30" t="s">
        <v>33</v>
      </c>
      <c r="D40" s="43">
        <v>8</v>
      </c>
      <c r="E40" s="37">
        <v>300</v>
      </c>
      <c r="F40" s="46">
        <v>734</v>
      </c>
      <c r="G40" s="51">
        <f t="shared" si="1"/>
        <v>1.7777777777777779E-3</v>
      </c>
    </row>
    <row r="41" spans="1:9" x14ac:dyDescent="0.25">
      <c r="A41" s="93"/>
      <c r="B41" s="85">
        <v>3</v>
      </c>
      <c r="C41" s="31" t="s">
        <v>34</v>
      </c>
      <c r="D41" s="44">
        <v>4</v>
      </c>
      <c r="E41" s="41">
        <v>300</v>
      </c>
      <c r="F41" s="47">
        <v>734</v>
      </c>
      <c r="G41" s="52">
        <f t="shared" si="1"/>
        <v>8.8888888888888893E-4</v>
      </c>
    </row>
    <row r="42" spans="1:9" x14ac:dyDescent="0.25">
      <c r="F42" s="3"/>
    </row>
    <row r="43" spans="1:9" x14ac:dyDescent="0.25">
      <c r="A43" s="6"/>
      <c r="B43" s="6"/>
    </row>
    <row r="44" spans="1:9" x14ac:dyDescent="0.25">
      <c r="A44" s="5"/>
      <c r="B44" s="5"/>
    </row>
  </sheetData>
  <mergeCells count="4">
    <mergeCell ref="A15:A23"/>
    <mergeCell ref="A24:A32"/>
    <mergeCell ref="A33:A41"/>
    <mergeCell ref="A6:A1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workbookViewId="0"/>
  </sheetViews>
  <sheetFormatPr defaultColWidth="11" defaultRowHeight="15.75" x14ac:dyDescent="0.25"/>
  <cols>
    <col min="1" max="1" width="8.625" customWidth="1"/>
    <col min="2" max="2" width="15.875" bestFit="1" customWidth="1"/>
    <col min="3" max="3" width="5.5" bestFit="1" customWidth="1"/>
    <col min="4" max="4" width="12.625" bestFit="1" customWidth="1"/>
    <col min="5" max="5" width="15.5" bestFit="1" customWidth="1"/>
    <col min="6" max="6" width="11.375" bestFit="1" customWidth="1"/>
    <col min="7" max="7" width="15" bestFit="1" customWidth="1"/>
    <col min="8" max="8" width="15.375" bestFit="1" customWidth="1"/>
    <col min="9" max="9" width="16.125" bestFit="1" customWidth="1"/>
    <col min="10" max="10" width="23.5" bestFit="1" customWidth="1"/>
    <col min="11" max="11" width="37.625" bestFit="1" customWidth="1"/>
    <col min="12" max="12" width="20" bestFit="1" customWidth="1"/>
    <col min="13" max="13" width="54.5" bestFit="1" customWidth="1"/>
    <col min="14" max="14" width="21.625" bestFit="1" customWidth="1"/>
    <col min="15" max="15" width="7.375" bestFit="1" customWidth="1"/>
    <col min="16" max="16" width="14.125" bestFit="1" customWidth="1"/>
    <col min="17" max="17" width="22.125" bestFit="1" customWidth="1"/>
    <col min="18" max="18" width="35.625" bestFit="1" customWidth="1"/>
    <col min="19" max="19" width="27.375" bestFit="1" customWidth="1"/>
  </cols>
  <sheetData>
    <row r="1" spans="1:18" s="1" customFormat="1" ht="18.75" x14ac:dyDescent="0.3">
      <c r="A1" s="24" t="s">
        <v>175</v>
      </c>
      <c r="B1" s="24"/>
      <c r="C1" s="9"/>
      <c r="D1" s="9"/>
      <c r="E1" s="9"/>
      <c r="F1" s="9"/>
      <c r="G1" s="9"/>
      <c r="H1" s="9"/>
      <c r="I1" s="9"/>
      <c r="J1" s="9"/>
      <c r="K1" s="10"/>
    </row>
    <row r="2" spans="1:18" s="1" customFormat="1" ht="18.75" x14ac:dyDescent="0.3">
      <c r="A2" s="24" t="s">
        <v>149</v>
      </c>
      <c r="B2" s="24"/>
      <c r="C2" s="9"/>
      <c r="D2" s="9"/>
      <c r="E2" s="9"/>
      <c r="F2" s="9"/>
      <c r="G2" s="9"/>
      <c r="H2" s="9"/>
      <c r="I2" s="9"/>
      <c r="J2" s="9"/>
      <c r="K2" s="10"/>
    </row>
    <row r="3" spans="1:18" s="1" customFormat="1" ht="18.75" x14ac:dyDescent="0.3">
      <c r="A3" s="24" t="s">
        <v>46</v>
      </c>
      <c r="B3" s="24"/>
      <c r="C3" s="9"/>
      <c r="D3" s="9"/>
      <c r="E3" s="9"/>
      <c r="F3" s="9"/>
      <c r="G3" s="9"/>
      <c r="H3" s="9"/>
      <c r="I3" s="9"/>
      <c r="J3" s="9"/>
      <c r="K3" s="10"/>
    </row>
    <row r="5" spans="1:18" s="23" customFormat="1" ht="15.75" customHeight="1" x14ac:dyDescent="0.25">
      <c r="A5" s="57" t="s">
        <v>4</v>
      </c>
      <c r="B5" s="82" t="s">
        <v>47</v>
      </c>
      <c r="C5" s="57" t="s">
        <v>0</v>
      </c>
      <c r="D5" s="57" t="s">
        <v>162</v>
      </c>
      <c r="E5" s="57" t="s">
        <v>161</v>
      </c>
      <c r="F5" s="57" t="s">
        <v>150</v>
      </c>
      <c r="G5" s="57" t="s">
        <v>151</v>
      </c>
      <c r="H5" s="89" t="s">
        <v>4</v>
      </c>
      <c r="I5" s="57" t="s">
        <v>48</v>
      </c>
      <c r="J5" s="57" t="s">
        <v>6</v>
      </c>
      <c r="K5" s="57" t="s">
        <v>160</v>
      </c>
      <c r="L5" s="57" t="s">
        <v>5</v>
      </c>
      <c r="M5" s="57" t="s">
        <v>171</v>
      </c>
      <c r="N5" s="57" t="s">
        <v>152</v>
      </c>
      <c r="O5" s="89" t="s">
        <v>167</v>
      </c>
      <c r="P5" s="57" t="s">
        <v>35</v>
      </c>
      <c r="Q5" s="57" t="s">
        <v>154</v>
      </c>
      <c r="R5" s="57" t="s">
        <v>153</v>
      </c>
    </row>
    <row r="6" spans="1:18" s="1" customFormat="1" ht="15.75" customHeight="1" x14ac:dyDescent="0.25">
      <c r="A6" s="95" t="s">
        <v>45</v>
      </c>
      <c r="B6" s="83">
        <v>1</v>
      </c>
      <c r="C6" s="86" t="s">
        <v>82</v>
      </c>
      <c r="D6" s="36">
        <v>13</v>
      </c>
      <c r="E6" s="36">
        <v>300</v>
      </c>
      <c r="F6" s="34">
        <v>0</v>
      </c>
      <c r="G6" s="38">
        <f t="shared" ref="G6:G14" si="0">(D6/E6)/15</f>
        <v>2.8888888888888892E-3</v>
      </c>
      <c r="H6" s="22" t="s">
        <v>76</v>
      </c>
      <c r="I6" s="6">
        <v>0</v>
      </c>
      <c r="J6" s="26">
        <f>AVERAGE(G6:G14)</f>
        <v>6.1728395061728409E-3</v>
      </c>
      <c r="K6" s="11">
        <v>5.89</v>
      </c>
      <c r="L6" s="13">
        <v>0.25</v>
      </c>
      <c r="M6" s="11">
        <f>K6*L6</f>
        <v>1.4724999999999999</v>
      </c>
      <c r="N6" s="11">
        <v>156.27000000000001</v>
      </c>
      <c r="O6" s="12">
        <f>M6*N6</f>
        <v>230.107575</v>
      </c>
      <c r="P6" s="12">
        <f>O6</f>
        <v>230.107575</v>
      </c>
      <c r="Q6" s="11">
        <v>45</v>
      </c>
      <c r="R6" s="14">
        <f>P12*Q6</f>
        <v>4270.152998712495</v>
      </c>
    </row>
    <row r="7" spans="1:18" s="1" customFormat="1" ht="15.75" customHeight="1" x14ac:dyDescent="0.25">
      <c r="A7" s="95"/>
      <c r="B7" s="84">
        <v>1</v>
      </c>
      <c r="C7" s="87" t="s">
        <v>83</v>
      </c>
      <c r="D7" s="37">
        <v>33</v>
      </c>
      <c r="E7" s="37">
        <v>300</v>
      </c>
      <c r="F7" s="35">
        <v>0</v>
      </c>
      <c r="G7" s="39">
        <f t="shared" si="0"/>
        <v>7.3333333333333332E-3</v>
      </c>
      <c r="H7" s="22" t="s">
        <v>142</v>
      </c>
      <c r="I7" s="7">
        <f>AVERAGE(F15:F23)</f>
        <v>51.666666666666664</v>
      </c>
      <c r="J7" s="26">
        <f>AVERAGE(G15:G23)</f>
        <v>5.7530864197530857E-3</v>
      </c>
      <c r="K7" s="11">
        <v>5.89</v>
      </c>
      <c r="L7" s="11"/>
      <c r="M7" s="11">
        <f>K7*L6</f>
        <v>1.4724999999999999</v>
      </c>
      <c r="N7" s="11">
        <v>156.27000000000001</v>
      </c>
      <c r="O7" s="12">
        <f>(O6*J7)/J6</f>
        <v>214.46025989999993</v>
      </c>
      <c r="P7" s="12">
        <f>O7-O10</f>
        <v>186.99396416712938</v>
      </c>
      <c r="Q7" s="11"/>
      <c r="R7" s="11"/>
    </row>
    <row r="8" spans="1:18" s="1" customFormat="1" ht="15.75" customHeight="1" x14ac:dyDescent="0.25">
      <c r="A8" s="95"/>
      <c r="B8" s="84">
        <v>1</v>
      </c>
      <c r="C8" s="87" t="s">
        <v>84</v>
      </c>
      <c r="D8" s="37">
        <v>45</v>
      </c>
      <c r="E8" s="37">
        <v>300</v>
      </c>
      <c r="F8" s="35">
        <v>0</v>
      </c>
      <c r="G8" s="39">
        <f t="shared" si="0"/>
        <v>0.01</v>
      </c>
      <c r="H8" s="22" t="s">
        <v>143</v>
      </c>
      <c r="I8" s="7">
        <f>AVERAGE(F24:F32)</f>
        <v>460.66666666666669</v>
      </c>
      <c r="J8" s="26">
        <f>AVERAGE(G24:G32)</f>
        <v>1.3086419753086422E-3</v>
      </c>
      <c r="K8" s="11">
        <v>5.89</v>
      </c>
      <c r="L8" s="11"/>
      <c r="M8" s="11">
        <f>K8*L6</f>
        <v>1.4724999999999999</v>
      </c>
      <c r="N8" s="11">
        <v>156.27000000000001</v>
      </c>
      <c r="O8" s="12">
        <f>(O6*J8)/J6</f>
        <v>48.782805899999993</v>
      </c>
      <c r="P8" s="12">
        <f>O8-O10</f>
        <v>21.316510167129447</v>
      </c>
      <c r="Q8" s="11"/>
      <c r="R8" s="11"/>
    </row>
    <row r="9" spans="1:18" s="1" customFormat="1" ht="15.75" customHeight="1" x14ac:dyDescent="0.25">
      <c r="A9" s="95"/>
      <c r="B9" s="84">
        <v>2</v>
      </c>
      <c r="C9" s="87" t="s">
        <v>85</v>
      </c>
      <c r="D9" s="37">
        <v>30</v>
      </c>
      <c r="E9" s="37">
        <v>300</v>
      </c>
      <c r="F9" s="35">
        <v>0</v>
      </c>
      <c r="G9" s="39">
        <f>(D9/E9)/15</f>
        <v>6.6666666666666671E-3</v>
      </c>
      <c r="H9" s="22" t="s">
        <v>144</v>
      </c>
      <c r="I9" s="7">
        <f>AVERAGE(F33:F41)</f>
        <v>826.33333333333337</v>
      </c>
      <c r="J9" s="26">
        <f>AVERAGE(G33:G41)</f>
        <v>1.7037037037037036E-3</v>
      </c>
      <c r="K9" s="11">
        <v>5.89</v>
      </c>
      <c r="L9" s="11"/>
      <c r="M9" s="11">
        <f>K9*L6</f>
        <v>1.4724999999999999</v>
      </c>
      <c r="N9" s="11">
        <v>156.27000000000001</v>
      </c>
      <c r="O9" s="12">
        <f>O6*J9/J6</f>
        <v>63.509690699999986</v>
      </c>
      <c r="P9" s="12">
        <f>O9-O10</f>
        <v>36.043394967129444</v>
      </c>
      <c r="Q9" s="11"/>
      <c r="R9" s="11"/>
    </row>
    <row r="10" spans="1:18" s="1" customFormat="1" ht="15.75" customHeight="1" x14ac:dyDescent="0.25">
      <c r="A10" s="95"/>
      <c r="B10" s="84">
        <v>2</v>
      </c>
      <c r="C10" s="87" t="s">
        <v>86</v>
      </c>
      <c r="D10" s="37">
        <v>30</v>
      </c>
      <c r="E10" s="37">
        <v>300</v>
      </c>
      <c r="F10" s="35">
        <v>0</v>
      </c>
      <c r="G10" s="39">
        <f t="shared" si="0"/>
        <v>6.6666666666666671E-3</v>
      </c>
      <c r="H10" s="22" t="s">
        <v>145</v>
      </c>
      <c r="I10" s="7">
        <v>1000</v>
      </c>
      <c r="J10" s="6"/>
      <c r="K10" s="11"/>
      <c r="L10" s="11"/>
      <c r="M10" s="11"/>
      <c r="N10" s="11"/>
      <c r="O10" s="12">
        <f>202.95*EXP(-0.002*1000)</f>
        <v>27.466295732870545</v>
      </c>
      <c r="P10" s="15">
        <v>0</v>
      </c>
      <c r="Q10" s="11"/>
      <c r="R10" s="11"/>
    </row>
    <row r="11" spans="1:18" s="1" customFormat="1" ht="15.75" customHeight="1" x14ac:dyDescent="0.25">
      <c r="A11" s="95"/>
      <c r="B11" s="84">
        <v>2</v>
      </c>
      <c r="C11" s="87" t="s">
        <v>87</v>
      </c>
      <c r="D11" s="37">
        <v>30</v>
      </c>
      <c r="E11" s="37">
        <v>300</v>
      </c>
      <c r="F11" s="35">
        <v>0</v>
      </c>
      <c r="G11" s="39">
        <f t="shared" si="0"/>
        <v>6.6666666666666671E-3</v>
      </c>
      <c r="H11" s="4"/>
      <c r="I11"/>
      <c r="J11"/>
      <c r="K11"/>
      <c r="L11"/>
      <c r="M11"/>
      <c r="N11"/>
      <c r="O11"/>
      <c r="P11" s="90" t="s">
        <v>166</v>
      </c>
      <c r="Q11"/>
      <c r="R11"/>
    </row>
    <row r="12" spans="1:18" s="1" customFormat="1" ht="15.75" customHeight="1" x14ac:dyDescent="0.25">
      <c r="A12" s="95"/>
      <c r="B12" s="84">
        <v>3</v>
      </c>
      <c r="C12" s="87" t="s">
        <v>88</v>
      </c>
      <c r="D12" s="37">
        <v>30</v>
      </c>
      <c r="E12" s="37">
        <v>300</v>
      </c>
      <c r="F12" s="35">
        <v>0</v>
      </c>
      <c r="G12" s="39">
        <f t="shared" si="0"/>
        <v>6.6666666666666671E-3</v>
      </c>
      <c r="H12"/>
      <c r="I12"/>
      <c r="J12"/>
      <c r="K12"/>
      <c r="L12"/>
      <c r="M12"/>
      <c r="N12"/>
      <c r="O12"/>
      <c r="P12" s="12">
        <f>AVERAGE(P6:P10)</f>
        <v>94.89228886027766</v>
      </c>
      <c r="Q12"/>
      <c r="R12"/>
    </row>
    <row r="13" spans="1:18" s="1" customFormat="1" ht="15.75" customHeight="1" x14ac:dyDescent="0.25">
      <c r="A13" s="95"/>
      <c r="B13" s="84">
        <v>3</v>
      </c>
      <c r="C13" s="87" t="s">
        <v>89</v>
      </c>
      <c r="D13" s="37">
        <v>20</v>
      </c>
      <c r="E13" s="37">
        <v>300</v>
      </c>
      <c r="F13" s="35">
        <v>0</v>
      </c>
      <c r="G13" s="39">
        <f t="shared" si="0"/>
        <v>4.4444444444444444E-3</v>
      </c>
    </row>
    <row r="14" spans="1:18" s="1" customFormat="1" x14ac:dyDescent="0.25">
      <c r="A14" s="95"/>
      <c r="B14" s="85">
        <v>3</v>
      </c>
      <c r="C14" s="87" t="s">
        <v>90</v>
      </c>
      <c r="D14" s="37">
        <v>19</v>
      </c>
      <c r="E14" s="37">
        <v>300</v>
      </c>
      <c r="F14" s="35">
        <v>0</v>
      </c>
      <c r="G14" s="39">
        <f t="shared" si="0"/>
        <v>4.2222222222222227E-3</v>
      </c>
    </row>
    <row r="15" spans="1:18" ht="15.75" customHeight="1" x14ac:dyDescent="0.25">
      <c r="A15" s="93" t="s">
        <v>142</v>
      </c>
      <c r="B15" s="83">
        <v>1</v>
      </c>
      <c r="C15" s="86" t="s">
        <v>97</v>
      </c>
      <c r="D15" s="36">
        <v>10</v>
      </c>
      <c r="E15" s="42">
        <v>300</v>
      </c>
      <c r="F15" s="45">
        <v>50</v>
      </c>
      <c r="G15" s="48">
        <f>(D15/E15)/15</f>
        <v>2.2222222222222222E-3</v>
      </c>
    </row>
    <row r="16" spans="1:18" x14ac:dyDescent="0.25">
      <c r="A16" s="93"/>
      <c r="B16" s="84">
        <v>1</v>
      </c>
      <c r="C16" s="87" t="s">
        <v>98</v>
      </c>
      <c r="D16" s="37">
        <v>29</v>
      </c>
      <c r="E16" s="43">
        <v>300</v>
      </c>
      <c r="F16" s="46">
        <v>50</v>
      </c>
      <c r="G16" s="49">
        <f>(D16/E16)/15</f>
        <v>6.4444444444444445E-3</v>
      </c>
    </row>
    <row r="17" spans="1:17" x14ac:dyDescent="0.25">
      <c r="A17" s="93"/>
      <c r="B17" s="84">
        <v>1</v>
      </c>
      <c r="C17" s="87" t="s">
        <v>99</v>
      </c>
      <c r="D17" s="37">
        <v>47</v>
      </c>
      <c r="E17" s="43">
        <v>300</v>
      </c>
      <c r="F17" s="46">
        <v>50</v>
      </c>
      <c r="G17" s="49">
        <f t="shared" ref="G17:G41" si="1">(D17/E17)/15</f>
        <v>1.0444444444444445E-2</v>
      </c>
    </row>
    <row r="18" spans="1:17" x14ac:dyDescent="0.25">
      <c r="A18" s="93"/>
      <c r="B18" s="84">
        <v>2</v>
      </c>
      <c r="C18" s="87" t="s">
        <v>100</v>
      </c>
      <c r="D18" s="37">
        <v>35</v>
      </c>
      <c r="E18" s="43">
        <v>300</v>
      </c>
      <c r="F18" s="46">
        <v>35</v>
      </c>
      <c r="G18" s="49">
        <f>(D18/E18)/15</f>
        <v>7.7777777777777776E-3</v>
      </c>
    </row>
    <row r="19" spans="1:17" x14ac:dyDescent="0.25">
      <c r="A19" s="93"/>
      <c r="B19" s="84">
        <v>2</v>
      </c>
      <c r="C19" s="87" t="s">
        <v>101</v>
      </c>
      <c r="D19" s="37">
        <v>23</v>
      </c>
      <c r="E19" s="43">
        <v>300</v>
      </c>
      <c r="F19" s="46">
        <v>35</v>
      </c>
      <c r="G19" s="49">
        <f t="shared" si="1"/>
        <v>5.1111111111111105E-3</v>
      </c>
    </row>
    <row r="20" spans="1:17" x14ac:dyDescent="0.25">
      <c r="A20" s="93"/>
      <c r="B20" s="84">
        <v>2</v>
      </c>
      <c r="C20" s="87" t="s">
        <v>102</v>
      </c>
      <c r="D20" s="37">
        <v>23</v>
      </c>
      <c r="E20" s="43">
        <v>300</v>
      </c>
      <c r="F20" s="46">
        <v>35</v>
      </c>
      <c r="G20" s="49">
        <f t="shared" si="1"/>
        <v>5.1111111111111105E-3</v>
      </c>
    </row>
    <row r="21" spans="1:17" x14ac:dyDescent="0.25">
      <c r="A21" s="93"/>
      <c r="B21" s="84">
        <v>3</v>
      </c>
      <c r="C21" s="87" t="s">
        <v>103</v>
      </c>
      <c r="D21" s="37">
        <v>23</v>
      </c>
      <c r="E21" s="43">
        <v>300</v>
      </c>
      <c r="F21" s="46">
        <v>70</v>
      </c>
      <c r="G21" s="49">
        <f t="shared" si="1"/>
        <v>5.1111111111111105E-3</v>
      </c>
      <c r="H21" s="4"/>
      <c r="N21" s="2"/>
    </row>
    <row r="22" spans="1:17" x14ac:dyDescent="0.25">
      <c r="A22" s="93"/>
      <c r="B22" s="84">
        <v>3</v>
      </c>
      <c r="C22" s="87" t="s">
        <v>104</v>
      </c>
      <c r="D22" s="37">
        <v>23</v>
      </c>
      <c r="E22" s="43">
        <v>300</v>
      </c>
      <c r="F22" s="46">
        <v>70</v>
      </c>
      <c r="G22" s="49">
        <f t="shared" si="1"/>
        <v>5.1111111111111105E-3</v>
      </c>
      <c r="H22" s="4"/>
    </row>
    <row r="23" spans="1:17" x14ac:dyDescent="0.25">
      <c r="A23" s="93"/>
      <c r="B23" s="85">
        <v>3</v>
      </c>
      <c r="C23" s="88" t="s">
        <v>105</v>
      </c>
      <c r="D23" s="41">
        <v>20</v>
      </c>
      <c r="E23" s="44">
        <v>300</v>
      </c>
      <c r="F23" s="47">
        <v>70</v>
      </c>
      <c r="G23" s="50">
        <f t="shared" si="1"/>
        <v>4.4444444444444444E-3</v>
      </c>
      <c r="H23" s="32"/>
    </row>
    <row r="24" spans="1:17" ht="15.75" customHeight="1" x14ac:dyDescent="0.25">
      <c r="A24" s="93" t="s">
        <v>157</v>
      </c>
      <c r="B24" s="83">
        <v>1</v>
      </c>
      <c r="C24" s="86" t="s">
        <v>112</v>
      </c>
      <c r="D24" s="42">
        <v>4</v>
      </c>
      <c r="E24" s="42">
        <v>300</v>
      </c>
      <c r="F24" s="45">
        <v>456</v>
      </c>
      <c r="G24" s="48">
        <f t="shared" si="1"/>
        <v>8.8888888888888893E-4</v>
      </c>
      <c r="Q24" s="92"/>
    </row>
    <row r="25" spans="1:17" x14ac:dyDescent="0.25">
      <c r="A25" s="93"/>
      <c r="B25" s="84">
        <v>1</v>
      </c>
      <c r="C25" s="87" t="s">
        <v>113</v>
      </c>
      <c r="D25" s="43">
        <v>2</v>
      </c>
      <c r="E25" s="33">
        <v>300</v>
      </c>
      <c r="F25" s="40">
        <v>456</v>
      </c>
      <c r="G25" s="51">
        <f t="shared" si="1"/>
        <v>4.4444444444444447E-4</v>
      </c>
    </row>
    <row r="26" spans="1:17" x14ac:dyDescent="0.25">
      <c r="A26" s="93"/>
      <c r="B26" s="84">
        <v>1</v>
      </c>
      <c r="C26" s="87" t="s">
        <v>114</v>
      </c>
      <c r="D26" s="43">
        <v>6</v>
      </c>
      <c r="E26" s="43">
        <v>300</v>
      </c>
      <c r="F26" s="46">
        <v>456</v>
      </c>
      <c r="G26" s="49">
        <f t="shared" si="1"/>
        <v>1.3333333333333333E-3</v>
      </c>
    </row>
    <row r="27" spans="1:17" x14ac:dyDescent="0.25">
      <c r="A27" s="93"/>
      <c r="B27" s="84">
        <v>2</v>
      </c>
      <c r="C27" s="87" t="s">
        <v>115</v>
      </c>
      <c r="D27" s="43">
        <v>7</v>
      </c>
      <c r="E27" s="43">
        <v>300</v>
      </c>
      <c r="F27" s="46">
        <v>366</v>
      </c>
      <c r="G27" s="49">
        <f t="shared" si="1"/>
        <v>1.5555555555555557E-3</v>
      </c>
    </row>
    <row r="28" spans="1:17" x14ac:dyDescent="0.25">
      <c r="A28" s="93"/>
      <c r="B28" s="84">
        <v>2</v>
      </c>
      <c r="C28" s="87" t="s">
        <v>116</v>
      </c>
      <c r="D28" s="43">
        <v>7</v>
      </c>
      <c r="E28" s="43">
        <v>300</v>
      </c>
      <c r="F28" s="46">
        <v>366</v>
      </c>
      <c r="G28" s="49">
        <f t="shared" si="1"/>
        <v>1.5555555555555557E-3</v>
      </c>
    </row>
    <row r="29" spans="1:17" x14ac:dyDescent="0.25">
      <c r="A29" s="93"/>
      <c r="B29" s="84">
        <v>2</v>
      </c>
      <c r="C29" s="87" t="s">
        <v>117</v>
      </c>
      <c r="D29" s="43">
        <v>7</v>
      </c>
      <c r="E29" s="43">
        <v>300</v>
      </c>
      <c r="F29" s="46">
        <v>366</v>
      </c>
      <c r="G29" s="49">
        <f t="shared" si="1"/>
        <v>1.5555555555555557E-3</v>
      </c>
    </row>
    <row r="30" spans="1:17" x14ac:dyDescent="0.25">
      <c r="A30" s="93"/>
      <c r="B30" s="84">
        <v>3</v>
      </c>
      <c r="C30" s="87" t="s">
        <v>118</v>
      </c>
      <c r="D30" s="43">
        <v>7</v>
      </c>
      <c r="E30" s="43">
        <v>300</v>
      </c>
      <c r="F30" s="46">
        <v>560</v>
      </c>
      <c r="G30" s="49">
        <f t="shared" si="1"/>
        <v>1.5555555555555557E-3</v>
      </c>
    </row>
    <row r="31" spans="1:17" x14ac:dyDescent="0.25">
      <c r="A31" s="93"/>
      <c r="B31" s="84">
        <v>3</v>
      </c>
      <c r="C31" s="87" t="s">
        <v>119</v>
      </c>
      <c r="D31" s="43">
        <v>6</v>
      </c>
      <c r="E31" s="43">
        <v>300</v>
      </c>
      <c r="F31" s="46">
        <v>560</v>
      </c>
      <c r="G31" s="49">
        <f t="shared" si="1"/>
        <v>1.3333333333333333E-3</v>
      </c>
    </row>
    <row r="32" spans="1:17" x14ac:dyDescent="0.25">
      <c r="A32" s="93"/>
      <c r="B32" s="85">
        <v>3</v>
      </c>
      <c r="C32" s="88" t="s">
        <v>120</v>
      </c>
      <c r="D32" s="44">
        <v>7</v>
      </c>
      <c r="E32" s="44">
        <v>300</v>
      </c>
      <c r="F32" s="47">
        <v>560</v>
      </c>
      <c r="G32" s="50">
        <f t="shared" si="1"/>
        <v>1.5555555555555557E-3</v>
      </c>
    </row>
    <row r="33" spans="1:9" ht="15.75" customHeight="1" x14ac:dyDescent="0.25">
      <c r="A33" s="94" t="s">
        <v>158</v>
      </c>
      <c r="B33" s="84">
        <v>1</v>
      </c>
      <c r="C33" s="87" t="s">
        <v>127</v>
      </c>
      <c r="D33" s="43">
        <v>7</v>
      </c>
      <c r="E33" s="36">
        <v>300</v>
      </c>
      <c r="F33" s="45">
        <v>845</v>
      </c>
      <c r="G33" s="51">
        <f t="shared" si="1"/>
        <v>1.5555555555555557E-3</v>
      </c>
    </row>
    <row r="34" spans="1:9" x14ac:dyDescent="0.25">
      <c r="A34" s="93"/>
      <c r="B34" s="84">
        <v>1</v>
      </c>
      <c r="C34" s="87" t="s">
        <v>128</v>
      </c>
      <c r="D34" s="43">
        <v>11</v>
      </c>
      <c r="E34" s="37">
        <v>300</v>
      </c>
      <c r="F34" s="46">
        <v>845</v>
      </c>
      <c r="G34" s="51">
        <f t="shared" si="1"/>
        <v>2.4444444444444444E-3</v>
      </c>
    </row>
    <row r="35" spans="1:9" x14ac:dyDescent="0.25">
      <c r="A35" s="93"/>
      <c r="B35" s="84">
        <v>1</v>
      </c>
      <c r="C35" s="87" t="s">
        <v>129</v>
      </c>
      <c r="D35" s="43">
        <v>11</v>
      </c>
      <c r="E35" s="37">
        <v>300</v>
      </c>
      <c r="F35" s="46">
        <v>845</v>
      </c>
      <c r="G35" s="51">
        <f t="shared" si="1"/>
        <v>2.4444444444444444E-3</v>
      </c>
    </row>
    <row r="36" spans="1:9" x14ac:dyDescent="0.25">
      <c r="A36" s="93"/>
      <c r="B36" s="84">
        <v>2</v>
      </c>
      <c r="C36" s="87" t="s">
        <v>130</v>
      </c>
      <c r="D36" s="43">
        <v>11</v>
      </c>
      <c r="E36" s="37">
        <v>300</v>
      </c>
      <c r="F36" s="46">
        <v>900</v>
      </c>
      <c r="G36" s="51">
        <f t="shared" si="1"/>
        <v>2.4444444444444444E-3</v>
      </c>
    </row>
    <row r="37" spans="1:9" x14ac:dyDescent="0.25">
      <c r="A37" s="93"/>
      <c r="B37" s="84">
        <v>2</v>
      </c>
      <c r="C37" s="87" t="s">
        <v>131</v>
      </c>
      <c r="D37" s="43">
        <v>4</v>
      </c>
      <c r="E37" s="37">
        <v>300</v>
      </c>
      <c r="F37" s="46">
        <v>900</v>
      </c>
      <c r="G37" s="51">
        <f t="shared" si="1"/>
        <v>8.8888888888888893E-4</v>
      </c>
    </row>
    <row r="38" spans="1:9" x14ac:dyDescent="0.25">
      <c r="A38" s="93"/>
      <c r="B38" s="84">
        <v>2</v>
      </c>
      <c r="C38" s="87" t="s">
        <v>132</v>
      </c>
      <c r="D38" s="43">
        <v>8</v>
      </c>
      <c r="E38" s="37">
        <v>300</v>
      </c>
      <c r="F38" s="46">
        <v>900</v>
      </c>
      <c r="G38" s="51">
        <f t="shared" si="1"/>
        <v>1.7777777777777779E-3</v>
      </c>
      <c r="I38" s="25"/>
    </row>
    <row r="39" spans="1:9" x14ac:dyDescent="0.25">
      <c r="A39" s="93"/>
      <c r="B39" s="84">
        <v>3</v>
      </c>
      <c r="C39" s="87" t="s">
        <v>133</v>
      </c>
      <c r="D39" s="43">
        <v>5</v>
      </c>
      <c r="E39" s="37">
        <v>300</v>
      </c>
      <c r="F39" s="46">
        <v>734</v>
      </c>
      <c r="G39" s="51">
        <f t="shared" si="1"/>
        <v>1.1111111111111111E-3</v>
      </c>
      <c r="I39" s="25"/>
    </row>
    <row r="40" spans="1:9" x14ac:dyDescent="0.25">
      <c r="A40" s="93"/>
      <c r="B40" s="84">
        <v>3</v>
      </c>
      <c r="C40" s="87" t="s">
        <v>134</v>
      </c>
      <c r="D40" s="43">
        <v>8</v>
      </c>
      <c r="E40" s="37">
        <v>300</v>
      </c>
      <c r="F40" s="46">
        <v>734</v>
      </c>
      <c r="G40" s="51">
        <f t="shared" si="1"/>
        <v>1.7777777777777779E-3</v>
      </c>
    </row>
    <row r="41" spans="1:9" x14ac:dyDescent="0.25">
      <c r="A41" s="93"/>
      <c r="B41" s="85">
        <v>3</v>
      </c>
      <c r="C41" s="88" t="s">
        <v>135</v>
      </c>
      <c r="D41" s="44">
        <v>4</v>
      </c>
      <c r="E41" s="41">
        <v>300</v>
      </c>
      <c r="F41" s="47">
        <v>734</v>
      </c>
      <c r="G41" s="52">
        <f t="shared" si="1"/>
        <v>8.8888888888888893E-4</v>
      </c>
    </row>
    <row r="42" spans="1:9" x14ac:dyDescent="0.25">
      <c r="B42" s="53"/>
      <c r="C42" s="53"/>
      <c r="D42" s="53"/>
      <c r="E42" s="53"/>
      <c r="F42" s="54"/>
      <c r="G42" s="53"/>
    </row>
    <row r="43" spans="1:9" x14ac:dyDescent="0.25">
      <c r="A43" s="6"/>
      <c r="B43" s="6"/>
    </row>
    <row r="44" spans="1:9" x14ac:dyDescent="0.25">
      <c r="A44" s="5"/>
      <c r="B44" s="5"/>
    </row>
  </sheetData>
  <mergeCells count="4">
    <mergeCell ref="A6:A14"/>
    <mergeCell ref="A15:A23"/>
    <mergeCell ref="A24:A32"/>
    <mergeCell ref="A33:A4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6"/>
  <sheetViews>
    <sheetView workbookViewId="0"/>
  </sheetViews>
  <sheetFormatPr defaultColWidth="11" defaultRowHeight="15.75" x14ac:dyDescent="0.25"/>
  <cols>
    <col min="2" max="2" width="10.625" bestFit="1" customWidth="1"/>
    <col min="3" max="3" width="12.125" bestFit="1" customWidth="1"/>
    <col min="4" max="4" width="11.875" bestFit="1" customWidth="1"/>
    <col min="7" max="7" width="15.375" bestFit="1" customWidth="1"/>
    <col min="8" max="8" width="15.625" bestFit="1" customWidth="1"/>
    <col min="9" max="9" width="8.625" bestFit="1" customWidth="1"/>
    <col min="10" max="10" width="19.625" bestFit="1" customWidth="1"/>
    <col min="11" max="11" width="7.625" bestFit="1" customWidth="1"/>
    <col min="12" max="12" width="22.125" bestFit="1" customWidth="1"/>
    <col min="13" max="13" width="37.625" bestFit="1" customWidth="1"/>
    <col min="14" max="14" width="21.625" bestFit="1" customWidth="1"/>
    <col min="15" max="15" width="35.625" bestFit="1" customWidth="1"/>
  </cols>
  <sheetData>
    <row r="1" spans="1:15" ht="18.75" x14ac:dyDescent="0.3">
      <c r="A1" s="24" t="s">
        <v>176</v>
      </c>
      <c r="B1" s="9"/>
      <c r="C1" s="9"/>
      <c r="D1" s="9"/>
      <c r="E1" s="9"/>
      <c r="F1" s="9"/>
      <c r="G1" s="9"/>
      <c r="H1" s="9"/>
      <c r="I1" s="9"/>
      <c r="J1" s="9"/>
    </row>
    <row r="2" spans="1:15" ht="18.75" x14ac:dyDescent="0.3">
      <c r="A2" s="24" t="s">
        <v>147</v>
      </c>
      <c r="B2" s="9"/>
      <c r="C2" s="9"/>
      <c r="D2" s="9"/>
      <c r="E2" s="9"/>
      <c r="F2" s="9"/>
      <c r="G2" s="9"/>
      <c r="H2" s="9"/>
      <c r="I2" s="9"/>
      <c r="J2" s="9"/>
    </row>
    <row r="3" spans="1:15" ht="18.75" x14ac:dyDescent="0.3">
      <c r="A3" s="24" t="s">
        <v>46</v>
      </c>
      <c r="B3" s="9"/>
      <c r="C3" s="9"/>
      <c r="D3" s="9"/>
      <c r="E3" s="9"/>
      <c r="F3" s="9"/>
      <c r="G3" s="9"/>
      <c r="H3" s="9"/>
      <c r="I3" s="9"/>
      <c r="J3" s="9"/>
    </row>
    <row r="6" spans="1:15" ht="18" x14ac:dyDescent="0.25">
      <c r="A6" s="63" t="s">
        <v>4</v>
      </c>
      <c r="B6" s="63" t="s">
        <v>49</v>
      </c>
      <c r="C6" s="64" t="s">
        <v>155</v>
      </c>
      <c r="D6" s="64" t="s">
        <v>156</v>
      </c>
      <c r="E6" s="64" t="s">
        <v>73</v>
      </c>
      <c r="F6" s="64" t="s">
        <v>7</v>
      </c>
      <c r="G6" s="63" t="s">
        <v>4</v>
      </c>
      <c r="H6" s="64" t="s">
        <v>77</v>
      </c>
      <c r="I6" s="64" t="s">
        <v>75</v>
      </c>
      <c r="J6" s="64" t="s">
        <v>78</v>
      </c>
      <c r="K6" s="64" t="s">
        <v>81</v>
      </c>
      <c r="L6" s="65" t="s">
        <v>154</v>
      </c>
      <c r="M6" s="65" t="s">
        <v>160</v>
      </c>
      <c r="N6" s="65" t="s">
        <v>152</v>
      </c>
      <c r="O6" s="65" t="s">
        <v>153</v>
      </c>
    </row>
    <row r="7" spans="1:15" ht="15.95" customHeight="1" x14ac:dyDescent="0.25">
      <c r="A7" s="99" t="s">
        <v>45</v>
      </c>
      <c r="B7" s="30" t="s">
        <v>36</v>
      </c>
      <c r="C7" s="66">
        <v>6</v>
      </c>
      <c r="D7" s="66">
        <v>7</v>
      </c>
      <c r="E7" s="69">
        <f>1-(C7/D7)</f>
        <v>0.1428571428571429</v>
      </c>
      <c r="F7" s="72">
        <v>0</v>
      </c>
      <c r="G7" s="27" t="s">
        <v>76</v>
      </c>
      <c r="H7" s="80">
        <v>0</v>
      </c>
      <c r="I7" s="81">
        <f>AVERAGE(E7:E21)</f>
        <v>0.23813852813852815</v>
      </c>
      <c r="J7" s="13">
        <f>I7-I11</f>
        <v>0.23813852813852815</v>
      </c>
      <c r="K7" s="13">
        <f>AVERAGE(J7:J11)</f>
        <v>0.16562770562770562</v>
      </c>
      <c r="L7" s="11">
        <v>51</v>
      </c>
      <c r="M7" s="11">
        <v>4.2</v>
      </c>
      <c r="N7" s="11">
        <v>319.8</v>
      </c>
      <c r="O7" s="28">
        <f>K7*L7*M7*N7</f>
        <v>11345.689963636363</v>
      </c>
    </row>
    <row r="8" spans="1:15" x14ac:dyDescent="0.25">
      <c r="A8" s="99"/>
      <c r="B8" s="30" t="s">
        <v>37</v>
      </c>
      <c r="C8" s="67">
        <v>4</v>
      </c>
      <c r="D8" s="67">
        <v>10</v>
      </c>
      <c r="E8" s="70">
        <f t="shared" ref="E8:E66" si="0">1-(C8/D8)</f>
        <v>0.6</v>
      </c>
      <c r="F8" s="73">
        <v>0</v>
      </c>
      <c r="G8" s="22" t="s">
        <v>142</v>
      </c>
      <c r="H8" s="80">
        <f>AVERAGE(F22:F36)</f>
        <v>52</v>
      </c>
      <c r="I8" s="81">
        <f>AVERAGE(E22:E36)</f>
        <v>0.23968253968253969</v>
      </c>
      <c r="J8" s="13">
        <f>I8-I11</f>
        <v>0.23968253968253969</v>
      </c>
    </row>
    <row r="9" spans="1:15" x14ac:dyDescent="0.25">
      <c r="A9" s="99"/>
      <c r="B9" s="30" t="s">
        <v>38</v>
      </c>
      <c r="C9" s="67">
        <v>3</v>
      </c>
      <c r="D9" s="67">
        <v>4</v>
      </c>
      <c r="E9" s="70">
        <f t="shared" si="0"/>
        <v>0.25</v>
      </c>
      <c r="F9" s="73">
        <v>0</v>
      </c>
      <c r="G9" s="22" t="s">
        <v>143</v>
      </c>
      <c r="H9" s="80">
        <f>AVERAGE(F37:F51)</f>
        <v>454.66666666666669</v>
      </c>
      <c r="I9" s="81">
        <f>AVERAGE(E37:E51)</f>
        <v>0.18833333333333332</v>
      </c>
      <c r="J9" s="13">
        <f>I9-I11</f>
        <v>0.18833333333333332</v>
      </c>
    </row>
    <row r="10" spans="1:15" x14ac:dyDescent="0.25">
      <c r="A10" s="99"/>
      <c r="B10" s="30" t="s">
        <v>39</v>
      </c>
      <c r="C10" s="67">
        <v>5</v>
      </c>
      <c r="D10" s="67">
        <v>5</v>
      </c>
      <c r="E10" s="70">
        <f t="shared" si="0"/>
        <v>0</v>
      </c>
      <c r="F10" s="73">
        <v>0</v>
      </c>
      <c r="G10" s="22" t="s">
        <v>144</v>
      </c>
      <c r="H10" s="80">
        <f>AVERAGE(F52:F66)</f>
        <v>830</v>
      </c>
      <c r="I10" s="81">
        <f>AVERAGE(E52:E66)</f>
        <v>0.16198412698412698</v>
      </c>
      <c r="J10" s="13">
        <f>I10-I11</f>
        <v>0.16198412698412698</v>
      </c>
    </row>
    <row r="11" spans="1:15" x14ac:dyDescent="0.25">
      <c r="A11" s="99"/>
      <c r="B11" s="30" t="s">
        <v>40</v>
      </c>
      <c r="C11" s="67">
        <v>5</v>
      </c>
      <c r="D11" s="67">
        <v>5</v>
      </c>
      <c r="E11" s="70">
        <f t="shared" si="0"/>
        <v>0</v>
      </c>
      <c r="F11" s="73">
        <v>0</v>
      </c>
      <c r="G11" s="27" t="s">
        <v>145</v>
      </c>
      <c r="H11" s="80">
        <v>1000</v>
      </c>
      <c r="I11" s="11"/>
      <c r="J11" s="11">
        <f>I11-I11</f>
        <v>0</v>
      </c>
    </row>
    <row r="12" spans="1:15" x14ac:dyDescent="0.25">
      <c r="A12" s="99"/>
      <c r="B12" s="30" t="s">
        <v>41</v>
      </c>
      <c r="C12" s="67">
        <v>4</v>
      </c>
      <c r="D12" s="67">
        <v>11</v>
      </c>
      <c r="E12" s="70">
        <f t="shared" si="0"/>
        <v>0.63636363636363635</v>
      </c>
      <c r="F12" s="73">
        <v>0</v>
      </c>
      <c r="H12" s="62"/>
    </row>
    <row r="13" spans="1:15" x14ac:dyDescent="0.25">
      <c r="A13" s="99"/>
      <c r="B13" s="30" t="s">
        <v>42</v>
      </c>
      <c r="C13" s="67">
        <v>1</v>
      </c>
      <c r="D13" s="67">
        <v>5</v>
      </c>
      <c r="E13" s="70">
        <f t="shared" si="0"/>
        <v>0.8</v>
      </c>
      <c r="F13" s="73">
        <v>0</v>
      </c>
      <c r="H13" s="62"/>
    </row>
    <row r="14" spans="1:15" x14ac:dyDescent="0.25">
      <c r="A14" s="99"/>
      <c r="B14" s="30" t="s">
        <v>43</v>
      </c>
      <c r="C14" s="67">
        <v>2</v>
      </c>
      <c r="D14" s="67">
        <v>3</v>
      </c>
      <c r="E14" s="70">
        <f t="shared" si="0"/>
        <v>0.33333333333333337</v>
      </c>
      <c r="F14" s="73">
        <v>0</v>
      </c>
      <c r="H14" s="62"/>
      <c r="L14" s="18"/>
    </row>
    <row r="15" spans="1:15" x14ac:dyDescent="0.25">
      <c r="A15" s="99"/>
      <c r="B15" s="30" t="s">
        <v>44</v>
      </c>
      <c r="C15" s="67">
        <v>3</v>
      </c>
      <c r="D15" s="67">
        <v>3</v>
      </c>
      <c r="E15" s="70">
        <f t="shared" si="0"/>
        <v>0</v>
      </c>
      <c r="F15" s="73">
        <v>0</v>
      </c>
      <c r="H15" s="62"/>
    </row>
    <row r="16" spans="1:15" ht="15.95" customHeight="1" x14ac:dyDescent="0.25">
      <c r="A16" s="99"/>
      <c r="B16" s="30" t="s">
        <v>68</v>
      </c>
      <c r="C16" s="67">
        <v>4</v>
      </c>
      <c r="D16" s="67">
        <v>8</v>
      </c>
      <c r="E16" s="70">
        <f t="shared" si="0"/>
        <v>0.5</v>
      </c>
      <c r="F16" s="73">
        <v>0</v>
      </c>
      <c r="H16" s="62"/>
    </row>
    <row r="17" spans="1:13" x14ac:dyDescent="0.25">
      <c r="A17" s="99"/>
      <c r="B17" s="30" t="s">
        <v>69</v>
      </c>
      <c r="C17" s="67">
        <v>3</v>
      </c>
      <c r="D17" s="67">
        <v>3</v>
      </c>
      <c r="E17" s="70">
        <f t="shared" si="0"/>
        <v>0</v>
      </c>
      <c r="F17" s="73">
        <v>0</v>
      </c>
      <c r="H17" s="62"/>
    </row>
    <row r="18" spans="1:13" x14ac:dyDescent="0.25">
      <c r="A18" s="99"/>
      <c r="B18" s="30" t="s">
        <v>70</v>
      </c>
      <c r="C18" s="67">
        <v>6</v>
      </c>
      <c r="D18" s="67">
        <v>7</v>
      </c>
      <c r="E18" s="70">
        <f t="shared" si="0"/>
        <v>0.1428571428571429</v>
      </c>
      <c r="F18" s="73">
        <v>0</v>
      </c>
      <c r="H18" s="62"/>
    </row>
    <row r="19" spans="1:13" x14ac:dyDescent="0.25">
      <c r="A19" s="99"/>
      <c r="B19" s="30" t="s">
        <v>71</v>
      </c>
      <c r="C19" s="67">
        <v>6</v>
      </c>
      <c r="D19" s="67">
        <v>6</v>
      </c>
      <c r="E19" s="70">
        <f t="shared" si="0"/>
        <v>0</v>
      </c>
      <c r="F19" s="73">
        <v>0</v>
      </c>
      <c r="H19" s="62"/>
    </row>
    <row r="20" spans="1:13" x14ac:dyDescent="0.25">
      <c r="A20" s="99"/>
      <c r="B20" s="30" t="s">
        <v>72</v>
      </c>
      <c r="C20" s="67">
        <v>5</v>
      </c>
      <c r="D20" s="67">
        <v>6</v>
      </c>
      <c r="E20" s="70">
        <f t="shared" si="0"/>
        <v>0.16666666666666663</v>
      </c>
      <c r="F20" s="73">
        <v>0</v>
      </c>
      <c r="H20" s="62"/>
    </row>
    <row r="21" spans="1:13" x14ac:dyDescent="0.25">
      <c r="A21" s="99"/>
      <c r="B21" s="31" t="s">
        <v>74</v>
      </c>
      <c r="C21" s="68">
        <v>7</v>
      </c>
      <c r="D21" s="68">
        <v>7</v>
      </c>
      <c r="E21" s="71">
        <f t="shared" si="0"/>
        <v>0</v>
      </c>
      <c r="F21" s="73">
        <v>0</v>
      </c>
      <c r="H21" s="62"/>
    </row>
    <row r="22" spans="1:13" x14ac:dyDescent="0.25">
      <c r="A22" s="96" t="s">
        <v>142</v>
      </c>
      <c r="B22" s="29" t="s">
        <v>8</v>
      </c>
      <c r="C22" s="66">
        <v>6</v>
      </c>
      <c r="D22" s="66">
        <v>7</v>
      </c>
      <c r="E22" s="74">
        <f t="shared" si="0"/>
        <v>0.1428571428571429</v>
      </c>
      <c r="F22" s="77">
        <v>50</v>
      </c>
      <c r="H22" s="62"/>
    </row>
    <row r="23" spans="1:13" x14ac:dyDescent="0.25">
      <c r="A23" s="97"/>
      <c r="B23" s="30" t="s">
        <v>9</v>
      </c>
      <c r="C23" s="67">
        <v>4</v>
      </c>
      <c r="D23" s="67">
        <v>7</v>
      </c>
      <c r="E23" s="75">
        <f t="shared" si="0"/>
        <v>0.4285714285714286</v>
      </c>
      <c r="F23" s="78">
        <v>50</v>
      </c>
      <c r="H23" s="62"/>
    </row>
    <row r="24" spans="1:13" x14ac:dyDescent="0.25">
      <c r="A24" s="97"/>
      <c r="B24" s="30" t="s">
        <v>10</v>
      </c>
      <c r="C24" s="67">
        <v>3</v>
      </c>
      <c r="D24" s="67">
        <v>6</v>
      </c>
      <c r="E24" s="75">
        <f t="shared" si="0"/>
        <v>0.5</v>
      </c>
      <c r="F24" s="78">
        <v>50</v>
      </c>
      <c r="H24" s="62"/>
      <c r="L24" s="61"/>
    </row>
    <row r="25" spans="1:13" x14ac:dyDescent="0.25">
      <c r="A25" s="97"/>
      <c r="B25" s="30" t="s">
        <v>11</v>
      </c>
      <c r="C25" s="67">
        <v>5</v>
      </c>
      <c r="D25" s="67">
        <v>7</v>
      </c>
      <c r="E25" s="75">
        <f t="shared" si="0"/>
        <v>0.2857142857142857</v>
      </c>
      <c r="F25" s="78">
        <v>35</v>
      </c>
      <c r="H25" s="62"/>
      <c r="L25" s="27"/>
    </row>
    <row r="26" spans="1:13" x14ac:dyDescent="0.25">
      <c r="A26" s="97"/>
      <c r="B26" s="30" t="s">
        <v>12</v>
      </c>
      <c r="C26" s="67">
        <v>5</v>
      </c>
      <c r="D26" s="67">
        <v>5</v>
      </c>
      <c r="E26" s="75">
        <f t="shared" si="0"/>
        <v>0</v>
      </c>
      <c r="F26" s="78">
        <v>35</v>
      </c>
      <c r="H26" s="62"/>
      <c r="L26" s="22"/>
      <c r="M26" s="13"/>
    </row>
    <row r="27" spans="1:13" x14ac:dyDescent="0.25">
      <c r="A27" s="97"/>
      <c r="B27" s="30" t="s">
        <v>13</v>
      </c>
      <c r="C27" s="67">
        <v>4</v>
      </c>
      <c r="D27" s="67">
        <v>7</v>
      </c>
      <c r="E27" s="75">
        <f t="shared" si="0"/>
        <v>0.4285714285714286</v>
      </c>
      <c r="F27" s="78">
        <v>35</v>
      </c>
      <c r="H27" s="62"/>
      <c r="L27" s="22"/>
      <c r="M27" s="13"/>
    </row>
    <row r="28" spans="1:13" x14ac:dyDescent="0.25">
      <c r="A28" s="97"/>
      <c r="B28" s="30" t="s">
        <v>14</v>
      </c>
      <c r="C28" s="67">
        <v>1</v>
      </c>
      <c r="D28" s="67">
        <v>3</v>
      </c>
      <c r="E28" s="75">
        <f t="shared" si="0"/>
        <v>0.66666666666666674</v>
      </c>
      <c r="F28" s="78">
        <v>70</v>
      </c>
      <c r="H28" s="62"/>
      <c r="L28" s="22"/>
      <c r="M28" s="13"/>
    </row>
    <row r="29" spans="1:13" x14ac:dyDescent="0.25">
      <c r="A29" s="97"/>
      <c r="B29" s="30" t="s">
        <v>15</v>
      </c>
      <c r="C29" s="67">
        <v>2</v>
      </c>
      <c r="D29" s="67">
        <v>3</v>
      </c>
      <c r="E29" s="75">
        <f t="shared" si="0"/>
        <v>0.33333333333333337</v>
      </c>
      <c r="F29" s="78">
        <v>70</v>
      </c>
      <c r="H29" s="62"/>
      <c r="L29" s="56"/>
    </row>
    <row r="30" spans="1:13" x14ac:dyDescent="0.25">
      <c r="A30" s="97"/>
      <c r="B30" s="30" t="s">
        <v>16</v>
      </c>
      <c r="C30" s="67">
        <v>3</v>
      </c>
      <c r="D30" s="67">
        <v>3</v>
      </c>
      <c r="E30" s="75">
        <f t="shared" si="0"/>
        <v>0</v>
      </c>
      <c r="F30" s="78">
        <v>70</v>
      </c>
      <c r="H30" s="62"/>
    </row>
    <row r="31" spans="1:13" x14ac:dyDescent="0.25">
      <c r="A31" s="97"/>
      <c r="B31" s="30" t="s">
        <v>50</v>
      </c>
      <c r="C31" s="67">
        <v>4</v>
      </c>
      <c r="D31" s="67">
        <v>8</v>
      </c>
      <c r="E31" s="75">
        <f t="shared" si="0"/>
        <v>0.5</v>
      </c>
      <c r="F31" s="78">
        <v>35</v>
      </c>
      <c r="H31" s="62"/>
    </row>
    <row r="32" spans="1:13" ht="15.95" customHeight="1" x14ac:dyDescent="0.25">
      <c r="A32" s="97"/>
      <c r="B32" s="30" t="s">
        <v>51</v>
      </c>
      <c r="C32" s="67">
        <v>3</v>
      </c>
      <c r="D32" s="67">
        <v>3</v>
      </c>
      <c r="E32" s="75">
        <f t="shared" si="0"/>
        <v>0</v>
      </c>
      <c r="F32" s="78">
        <v>35</v>
      </c>
      <c r="H32" s="62"/>
    </row>
    <row r="33" spans="1:8" x14ac:dyDescent="0.25">
      <c r="A33" s="97"/>
      <c r="B33" s="30" t="s">
        <v>52</v>
      </c>
      <c r="C33" s="67">
        <v>6</v>
      </c>
      <c r="D33" s="67">
        <v>7</v>
      </c>
      <c r="E33" s="75">
        <f t="shared" si="0"/>
        <v>0.1428571428571429</v>
      </c>
      <c r="F33" s="78">
        <v>35</v>
      </c>
      <c r="H33" s="62"/>
    </row>
    <row r="34" spans="1:8" x14ac:dyDescent="0.25">
      <c r="A34" s="97"/>
      <c r="B34" s="30" t="s">
        <v>53</v>
      </c>
      <c r="C34" s="67">
        <v>6</v>
      </c>
      <c r="D34" s="67">
        <v>6</v>
      </c>
      <c r="E34" s="75">
        <f t="shared" si="0"/>
        <v>0</v>
      </c>
      <c r="F34" s="78">
        <v>70</v>
      </c>
      <c r="H34" s="62"/>
    </row>
    <row r="35" spans="1:8" x14ac:dyDescent="0.25">
      <c r="A35" s="97"/>
      <c r="B35" s="30" t="s">
        <v>54</v>
      </c>
      <c r="C35" s="67">
        <v>5</v>
      </c>
      <c r="D35" s="67">
        <v>6</v>
      </c>
      <c r="E35" s="75">
        <f t="shared" si="0"/>
        <v>0.16666666666666663</v>
      </c>
      <c r="F35" s="78">
        <v>70</v>
      </c>
      <c r="H35" s="62"/>
    </row>
    <row r="36" spans="1:8" x14ac:dyDescent="0.25">
      <c r="A36" s="98"/>
      <c r="B36" s="31" t="s">
        <v>55</v>
      </c>
      <c r="C36" s="68">
        <v>7</v>
      </c>
      <c r="D36" s="68">
        <v>7</v>
      </c>
      <c r="E36" s="76">
        <f t="shared" si="0"/>
        <v>0</v>
      </c>
      <c r="F36" s="78">
        <v>70</v>
      </c>
      <c r="H36" s="62"/>
    </row>
    <row r="37" spans="1:8" x14ac:dyDescent="0.25">
      <c r="A37" s="96" t="s">
        <v>157</v>
      </c>
      <c r="B37" s="29" t="s">
        <v>17</v>
      </c>
      <c r="C37" s="66">
        <v>6</v>
      </c>
      <c r="D37" s="66">
        <v>7</v>
      </c>
      <c r="E37" s="74">
        <f t="shared" si="0"/>
        <v>0.1428571428571429</v>
      </c>
      <c r="F37" s="77">
        <v>456</v>
      </c>
      <c r="H37" s="62"/>
    </row>
    <row r="38" spans="1:8" x14ac:dyDescent="0.25">
      <c r="A38" s="97"/>
      <c r="B38" s="30" t="s">
        <v>18</v>
      </c>
      <c r="C38" s="67">
        <v>4</v>
      </c>
      <c r="D38" s="67">
        <v>5</v>
      </c>
      <c r="E38" s="75">
        <f t="shared" si="0"/>
        <v>0.19999999999999996</v>
      </c>
      <c r="F38" s="78">
        <v>366</v>
      </c>
      <c r="H38" s="62"/>
    </row>
    <row r="39" spans="1:8" x14ac:dyDescent="0.25">
      <c r="A39" s="97"/>
      <c r="B39" s="30" t="s">
        <v>19</v>
      </c>
      <c r="C39" s="67">
        <v>3</v>
      </c>
      <c r="D39" s="67">
        <v>4</v>
      </c>
      <c r="E39" s="75">
        <f t="shared" si="0"/>
        <v>0.25</v>
      </c>
      <c r="F39" s="78">
        <v>366</v>
      </c>
      <c r="H39" s="62"/>
    </row>
    <row r="40" spans="1:8" x14ac:dyDescent="0.25">
      <c r="A40" s="97"/>
      <c r="B40" s="30" t="s">
        <v>20</v>
      </c>
      <c r="C40" s="67">
        <v>5</v>
      </c>
      <c r="D40" s="67">
        <v>7</v>
      </c>
      <c r="E40" s="75">
        <f t="shared" si="0"/>
        <v>0.2857142857142857</v>
      </c>
      <c r="F40" s="78">
        <v>366</v>
      </c>
      <c r="H40" s="62"/>
    </row>
    <row r="41" spans="1:8" ht="15.95" customHeight="1" x14ac:dyDescent="0.25">
      <c r="A41" s="97"/>
      <c r="B41" s="30" t="s">
        <v>21</v>
      </c>
      <c r="C41" s="67">
        <v>5</v>
      </c>
      <c r="D41" s="67">
        <v>8</v>
      </c>
      <c r="E41" s="75">
        <f t="shared" si="0"/>
        <v>0.375</v>
      </c>
      <c r="F41" s="78">
        <v>560</v>
      </c>
      <c r="H41" s="62"/>
    </row>
    <row r="42" spans="1:8" x14ac:dyDescent="0.25">
      <c r="A42" s="97"/>
      <c r="B42" s="30" t="s">
        <v>22</v>
      </c>
      <c r="C42" s="67">
        <v>4</v>
      </c>
      <c r="D42" s="67">
        <v>7</v>
      </c>
      <c r="E42" s="75">
        <f t="shared" si="0"/>
        <v>0.4285714285714286</v>
      </c>
      <c r="F42" s="78">
        <v>560</v>
      </c>
      <c r="H42" s="62"/>
    </row>
    <row r="43" spans="1:8" x14ac:dyDescent="0.25">
      <c r="A43" s="97"/>
      <c r="B43" s="30" t="s">
        <v>23</v>
      </c>
      <c r="C43" s="67">
        <v>1</v>
      </c>
      <c r="D43" s="67">
        <v>1</v>
      </c>
      <c r="E43" s="75">
        <f t="shared" si="0"/>
        <v>0</v>
      </c>
      <c r="F43" s="78">
        <v>456</v>
      </c>
      <c r="H43" s="62"/>
    </row>
    <row r="44" spans="1:8" x14ac:dyDescent="0.25">
      <c r="A44" s="97"/>
      <c r="B44" s="30" t="s">
        <v>24</v>
      </c>
      <c r="C44" s="67">
        <v>2</v>
      </c>
      <c r="D44" s="67">
        <v>3</v>
      </c>
      <c r="E44" s="75">
        <f t="shared" si="0"/>
        <v>0.33333333333333337</v>
      </c>
      <c r="F44" s="78">
        <v>456</v>
      </c>
      <c r="H44" s="62"/>
    </row>
    <row r="45" spans="1:8" x14ac:dyDescent="0.25">
      <c r="A45" s="97"/>
      <c r="B45" s="30" t="s">
        <v>25</v>
      </c>
      <c r="C45" s="67">
        <v>3</v>
      </c>
      <c r="D45" s="67">
        <v>3</v>
      </c>
      <c r="E45" s="75">
        <f t="shared" si="0"/>
        <v>0</v>
      </c>
      <c r="F45" s="78">
        <v>456</v>
      </c>
      <c r="H45" s="62"/>
    </row>
    <row r="46" spans="1:8" x14ac:dyDescent="0.25">
      <c r="A46" s="97"/>
      <c r="B46" s="30" t="s">
        <v>56</v>
      </c>
      <c r="C46" s="67">
        <v>4</v>
      </c>
      <c r="D46" s="67">
        <v>8</v>
      </c>
      <c r="E46" s="75">
        <f t="shared" si="0"/>
        <v>0.5</v>
      </c>
      <c r="F46" s="78">
        <v>366</v>
      </c>
      <c r="H46" s="62"/>
    </row>
    <row r="47" spans="1:8" ht="15.95" customHeight="1" x14ac:dyDescent="0.25">
      <c r="A47" s="97"/>
      <c r="B47" s="30" t="s">
        <v>57</v>
      </c>
      <c r="C47" s="67">
        <v>3</v>
      </c>
      <c r="D47" s="67">
        <v>3</v>
      </c>
      <c r="E47" s="75">
        <f t="shared" si="0"/>
        <v>0</v>
      </c>
      <c r="F47" s="78">
        <v>366</v>
      </c>
      <c r="H47" s="62"/>
    </row>
    <row r="48" spans="1:8" x14ac:dyDescent="0.25">
      <c r="A48" s="97"/>
      <c r="B48" s="30" t="s">
        <v>58</v>
      </c>
      <c r="C48" s="67">
        <v>6</v>
      </c>
      <c r="D48" s="67">
        <v>7</v>
      </c>
      <c r="E48" s="75">
        <f t="shared" si="0"/>
        <v>0.1428571428571429</v>
      </c>
      <c r="F48" s="78">
        <v>366</v>
      </c>
      <c r="H48" s="62"/>
    </row>
    <row r="49" spans="1:8" x14ac:dyDescent="0.25">
      <c r="A49" s="97"/>
      <c r="B49" s="30" t="s">
        <v>59</v>
      </c>
      <c r="C49" s="67">
        <v>6</v>
      </c>
      <c r="D49" s="67">
        <v>6</v>
      </c>
      <c r="E49" s="75">
        <f t="shared" si="0"/>
        <v>0</v>
      </c>
      <c r="F49" s="78">
        <v>560</v>
      </c>
      <c r="H49" s="62"/>
    </row>
    <row r="50" spans="1:8" x14ac:dyDescent="0.25">
      <c r="A50" s="97"/>
      <c r="B50" s="30" t="s">
        <v>60</v>
      </c>
      <c r="C50" s="67">
        <v>5</v>
      </c>
      <c r="D50" s="67">
        <v>6</v>
      </c>
      <c r="E50" s="75">
        <f t="shared" si="0"/>
        <v>0.16666666666666663</v>
      </c>
      <c r="F50" s="78">
        <v>560</v>
      </c>
      <c r="H50" s="62"/>
    </row>
    <row r="51" spans="1:8" x14ac:dyDescent="0.25">
      <c r="A51" s="98"/>
      <c r="B51" s="31" t="s">
        <v>61</v>
      </c>
      <c r="C51" s="68">
        <v>7</v>
      </c>
      <c r="D51" s="68">
        <v>7</v>
      </c>
      <c r="E51" s="76">
        <f t="shared" si="0"/>
        <v>0</v>
      </c>
      <c r="F51" s="78">
        <v>560</v>
      </c>
      <c r="H51" s="62"/>
    </row>
    <row r="52" spans="1:8" x14ac:dyDescent="0.25">
      <c r="A52" s="96" t="s">
        <v>158</v>
      </c>
      <c r="B52" s="29" t="s">
        <v>26</v>
      </c>
      <c r="C52" s="66">
        <v>6</v>
      </c>
      <c r="D52" s="66">
        <v>7</v>
      </c>
      <c r="E52" s="74">
        <f t="shared" si="0"/>
        <v>0.1428571428571429</v>
      </c>
      <c r="F52" s="77">
        <v>845</v>
      </c>
      <c r="H52" s="62"/>
    </row>
    <row r="53" spans="1:8" x14ac:dyDescent="0.25">
      <c r="A53" s="97"/>
      <c r="B53" s="30" t="s">
        <v>27</v>
      </c>
      <c r="C53" s="67">
        <v>4</v>
      </c>
      <c r="D53" s="67">
        <v>5</v>
      </c>
      <c r="E53" s="75">
        <f t="shared" si="0"/>
        <v>0.19999999999999996</v>
      </c>
      <c r="F53" s="78">
        <v>900</v>
      </c>
      <c r="H53" s="62"/>
    </row>
    <row r="54" spans="1:8" x14ac:dyDescent="0.25">
      <c r="A54" s="97"/>
      <c r="B54" s="30" t="s">
        <v>28</v>
      </c>
      <c r="C54" s="67">
        <v>3</v>
      </c>
      <c r="D54" s="67">
        <v>4</v>
      </c>
      <c r="E54" s="75">
        <f t="shared" si="0"/>
        <v>0.25</v>
      </c>
      <c r="F54" s="78">
        <v>900</v>
      </c>
      <c r="H54" s="62"/>
    </row>
    <row r="55" spans="1:8" x14ac:dyDescent="0.25">
      <c r="A55" s="97"/>
      <c r="B55" s="30" t="s">
        <v>29</v>
      </c>
      <c r="C55" s="67">
        <v>5</v>
      </c>
      <c r="D55" s="67">
        <v>7</v>
      </c>
      <c r="E55" s="75">
        <f t="shared" si="0"/>
        <v>0.2857142857142857</v>
      </c>
      <c r="F55" s="78">
        <v>900</v>
      </c>
      <c r="H55" s="62"/>
    </row>
    <row r="56" spans="1:8" x14ac:dyDescent="0.25">
      <c r="A56" s="97"/>
      <c r="B56" s="30" t="s">
        <v>30</v>
      </c>
      <c r="C56" s="67">
        <v>5</v>
      </c>
      <c r="D56" s="67">
        <v>8</v>
      </c>
      <c r="E56" s="75">
        <f t="shared" si="0"/>
        <v>0.375</v>
      </c>
      <c r="F56" s="78">
        <v>734</v>
      </c>
      <c r="H56" s="62"/>
    </row>
    <row r="57" spans="1:8" x14ac:dyDescent="0.25">
      <c r="A57" s="97"/>
      <c r="B57" s="30" t="s">
        <v>31</v>
      </c>
      <c r="C57" s="67">
        <v>4</v>
      </c>
      <c r="D57" s="67">
        <v>5</v>
      </c>
      <c r="E57" s="75">
        <f t="shared" si="0"/>
        <v>0.19999999999999996</v>
      </c>
      <c r="F57" s="78">
        <v>734</v>
      </c>
      <c r="H57" s="62"/>
    </row>
    <row r="58" spans="1:8" x14ac:dyDescent="0.25">
      <c r="A58" s="97"/>
      <c r="B58" s="30" t="s">
        <v>32</v>
      </c>
      <c r="C58" s="67">
        <v>1</v>
      </c>
      <c r="D58" s="67">
        <v>1</v>
      </c>
      <c r="E58" s="75">
        <f t="shared" si="0"/>
        <v>0</v>
      </c>
      <c r="F58" s="78">
        <v>845</v>
      </c>
      <c r="H58" s="62"/>
    </row>
    <row r="59" spans="1:8" x14ac:dyDescent="0.25">
      <c r="A59" s="97"/>
      <c r="B59" s="30" t="s">
        <v>33</v>
      </c>
      <c r="C59" s="67">
        <v>2</v>
      </c>
      <c r="D59" s="67">
        <v>3</v>
      </c>
      <c r="E59" s="75">
        <f t="shared" si="0"/>
        <v>0.33333333333333337</v>
      </c>
      <c r="F59" s="78">
        <v>845</v>
      </c>
      <c r="H59" s="62"/>
    </row>
    <row r="60" spans="1:8" x14ac:dyDescent="0.25">
      <c r="A60" s="97"/>
      <c r="B60" s="30" t="s">
        <v>34</v>
      </c>
      <c r="C60" s="67">
        <v>3</v>
      </c>
      <c r="D60" s="67">
        <v>3</v>
      </c>
      <c r="E60" s="75">
        <f t="shared" si="0"/>
        <v>0</v>
      </c>
      <c r="F60" s="78">
        <v>845</v>
      </c>
      <c r="H60" s="62"/>
    </row>
    <row r="61" spans="1:8" x14ac:dyDescent="0.25">
      <c r="A61" s="97"/>
      <c r="B61" s="30" t="s">
        <v>62</v>
      </c>
      <c r="C61" s="67">
        <v>4</v>
      </c>
      <c r="D61" s="67">
        <v>6</v>
      </c>
      <c r="E61" s="75">
        <f t="shared" si="0"/>
        <v>0.33333333333333337</v>
      </c>
      <c r="F61" s="78">
        <v>900</v>
      </c>
      <c r="H61" s="62"/>
    </row>
    <row r="62" spans="1:8" x14ac:dyDescent="0.25">
      <c r="A62" s="97"/>
      <c r="B62" s="30" t="s">
        <v>63</v>
      </c>
      <c r="C62" s="67">
        <v>3</v>
      </c>
      <c r="D62" s="67">
        <v>3</v>
      </c>
      <c r="E62" s="75">
        <f t="shared" si="0"/>
        <v>0</v>
      </c>
      <c r="F62" s="78">
        <v>900</v>
      </c>
      <c r="H62" s="62"/>
    </row>
    <row r="63" spans="1:8" x14ac:dyDescent="0.25">
      <c r="A63" s="97"/>
      <c r="B63" s="30" t="s">
        <v>64</v>
      </c>
      <c r="C63" s="67">
        <v>6</v>
      </c>
      <c r="D63" s="67">
        <v>7</v>
      </c>
      <c r="E63" s="75">
        <f t="shared" si="0"/>
        <v>0.1428571428571429</v>
      </c>
      <c r="F63" s="78">
        <v>900</v>
      </c>
      <c r="H63" s="62"/>
    </row>
    <row r="64" spans="1:8" x14ac:dyDescent="0.25">
      <c r="A64" s="97"/>
      <c r="B64" s="30" t="s">
        <v>65</v>
      </c>
      <c r="C64" s="67">
        <v>6</v>
      </c>
      <c r="D64" s="67">
        <v>6</v>
      </c>
      <c r="E64" s="75">
        <f t="shared" si="0"/>
        <v>0</v>
      </c>
      <c r="F64" s="78">
        <v>734</v>
      </c>
      <c r="H64" s="62"/>
    </row>
    <row r="65" spans="1:8" x14ac:dyDescent="0.25">
      <c r="A65" s="97"/>
      <c r="B65" s="30" t="s">
        <v>66</v>
      </c>
      <c r="C65" s="67">
        <v>5</v>
      </c>
      <c r="D65" s="67">
        <v>6</v>
      </c>
      <c r="E65" s="75">
        <f t="shared" si="0"/>
        <v>0.16666666666666663</v>
      </c>
      <c r="F65" s="78">
        <v>734</v>
      </c>
      <c r="H65" s="62"/>
    </row>
    <row r="66" spans="1:8" x14ac:dyDescent="0.25">
      <c r="A66" s="98"/>
      <c r="B66" s="31" t="s">
        <v>67</v>
      </c>
      <c r="C66" s="68">
        <v>7</v>
      </c>
      <c r="D66" s="68">
        <v>7</v>
      </c>
      <c r="E66" s="76">
        <f t="shared" si="0"/>
        <v>0</v>
      </c>
      <c r="F66" s="79">
        <v>734</v>
      </c>
      <c r="H66" s="62"/>
    </row>
  </sheetData>
  <mergeCells count="4">
    <mergeCell ref="A22:A36"/>
    <mergeCell ref="A37:A51"/>
    <mergeCell ref="A52:A66"/>
    <mergeCell ref="A7:A21"/>
  </mergeCells>
  <pageMargins left="0.7" right="0.7" top="0.75" bottom="0.75" header="0.3" footer="0.3"/>
  <pageSetup paperSize="9" orientation="portrait" horizontalDpi="1200" verticalDpi="1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5"/>
  <sheetViews>
    <sheetView tabSelected="1" workbookViewId="0"/>
  </sheetViews>
  <sheetFormatPr defaultColWidth="11" defaultRowHeight="15.75" x14ac:dyDescent="0.25"/>
  <cols>
    <col min="3" max="3" width="14" bestFit="1" customWidth="1"/>
    <col min="4" max="4" width="14.5" bestFit="1" customWidth="1"/>
    <col min="6" max="7" width="15.375" bestFit="1" customWidth="1"/>
    <col min="8" max="8" width="15.625" bestFit="1" customWidth="1"/>
    <col min="9" max="9" width="8.625" bestFit="1" customWidth="1"/>
    <col min="10" max="10" width="19.625" bestFit="1" customWidth="1"/>
    <col min="11" max="11" width="8.625" customWidth="1"/>
    <col min="12" max="12" width="22.125" bestFit="1" customWidth="1"/>
    <col min="13" max="13" width="38" bestFit="1" customWidth="1"/>
    <col min="14" max="14" width="21.625" bestFit="1" customWidth="1"/>
    <col min="15" max="15" width="35.625" bestFit="1" customWidth="1"/>
  </cols>
  <sheetData>
    <row r="1" spans="1:15" ht="18.75" x14ac:dyDescent="0.3">
      <c r="A1" s="24" t="s">
        <v>177</v>
      </c>
      <c r="B1" s="9"/>
      <c r="C1" s="9"/>
      <c r="D1" s="9"/>
      <c r="E1" s="9"/>
      <c r="F1" s="9"/>
      <c r="G1" s="9"/>
    </row>
    <row r="2" spans="1:15" ht="18.75" x14ac:dyDescent="0.3">
      <c r="A2" s="24" t="s">
        <v>146</v>
      </c>
      <c r="B2" s="9"/>
      <c r="C2" s="9"/>
      <c r="D2" s="9"/>
      <c r="E2" s="9"/>
      <c r="F2" s="9"/>
      <c r="G2" s="9"/>
    </row>
    <row r="3" spans="1:15" ht="18.75" x14ac:dyDescent="0.3">
      <c r="A3" s="24" t="s">
        <v>46</v>
      </c>
      <c r="B3" s="9"/>
      <c r="C3" s="9"/>
      <c r="D3" s="9"/>
      <c r="E3" s="9"/>
      <c r="F3" s="9"/>
      <c r="G3" s="9"/>
    </row>
    <row r="5" spans="1:15" ht="18" x14ac:dyDescent="0.25">
      <c r="A5" s="63" t="s">
        <v>4</v>
      </c>
      <c r="B5" s="63" t="s">
        <v>49</v>
      </c>
      <c r="C5" s="64" t="s">
        <v>79</v>
      </c>
      <c r="D5" s="64" t="s">
        <v>80</v>
      </c>
      <c r="E5" s="64" t="s">
        <v>73</v>
      </c>
      <c r="F5" s="64" t="s">
        <v>7</v>
      </c>
      <c r="G5" s="63" t="s">
        <v>4</v>
      </c>
      <c r="H5" s="64" t="s">
        <v>77</v>
      </c>
      <c r="I5" s="64" t="s">
        <v>75</v>
      </c>
      <c r="J5" s="64" t="s">
        <v>78</v>
      </c>
      <c r="K5" s="64" t="s">
        <v>81</v>
      </c>
      <c r="L5" s="65" t="s">
        <v>154</v>
      </c>
      <c r="M5" s="65" t="s">
        <v>159</v>
      </c>
      <c r="N5" s="65" t="s">
        <v>152</v>
      </c>
      <c r="O5" s="65" t="s">
        <v>153</v>
      </c>
    </row>
    <row r="6" spans="1:15" ht="15.95" customHeight="1" x14ac:dyDescent="0.25">
      <c r="A6" s="99" t="s">
        <v>45</v>
      </c>
      <c r="B6" s="30" t="s">
        <v>82</v>
      </c>
      <c r="C6" s="66">
        <v>6</v>
      </c>
      <c r="D6" s="66">
        <v>7</v>
      </c>
      <c r="E6" s="69">
        <f>1-(C6/D6)</f>
        <v>0.1428571428571429</v>
      </c>
      <c r="F6" s="72">
        <v>0</v>
      </c>
      <c r="G6" s="27" t="s">
        <v>76</v>
      </c>
      <c r="H6" s="80">
        <v>0</v>
      </c>
      <c r="I6" s="81">
        <f>AVERAGE(E6:E20)</f>
        <v>0.23813852813852815</v>
      </c>
      <c r="J6" s="13">
        <f>I6-I10</f>
        <v>0.23813852813852815</v>
      </c>
      <c r="K6" s="13">
        <f>AVERAGE(J6:J10)</f>
        <v>0.16562770562770562</v>
      </c>
      <c r="L6" s="11">
        <v>51</v>
      </c>
      <c r="M6" s="11">
        <v>4.2</v>
      </c>
      <c r="N6" s="11">
        <v>319.8</v>
      </c>
      <c r="O6" s="28">
        <f>K6*L6*M6*N6</f>
        <v>11345.689963636363</v>
      </c>
    </row>
    <row r="7" spans="1:15" x14ac:dyDescent="0.25">
      <c r="A7" s="99"/>
      <c r="B7" s="30" t="s">
        <v>83</v>
      </c>
      <c r="C7" s="67">
        <v>4</v>
      </c>
      <c r="D7" s="67">
        <v>10</v>
      </c>
      <c r="E7" s="70">
        <f t="shared" ref="E7:E65" si="0">1-(C7/D7)</f>
        <v>0.6</v>
      </c>
      <c r="F7" s="73">
        <v>0</v>
      </c>
      <c r="G7" s="22" t="s">
        <v>142</v>
      </c>
      <c r="H7" s="80">
        <f>AVERAGE(F21:F35)</f>
        <v>52</v>
      </c>
      <c r="I7" s="81">
        <f>AVERAGE(E21:E35)</f>
        <v>0.23968253968253969</v>
      </c>
      <c r="J7" s="13">
        <f>I7-I10</f>
        <v>0.23968253968253969</v>
      </c>
    </row>
    <row r="8" spans="1:15" x14ac:dyDescent="0.25">
      <c r="A8" s="99"/>
      <c r="B8" s="30" t="s">
        <v>84</v>
      </c>
      <c r="C8" s="67">
        <v>3</v>
      </c>
      <c r="D8" s="67">
        <v>4</v>
      </c>
      <c r="E8" s="70">
        <f t="shared" si="0"/>
        <v>0.25</v>
      </c>
      <c r="F8" s="73">
        <v>0</v>
      </c>
      <c r="G8" s="22" t="s">
        <v>157</v>
      </c>
      <c r="H8" s="80">
        <f>AVERAGE(F36:F50)</f>
        <v>454.66666666666669</v>
      </c>
      <c r="I8" s="81">
        <f>AVERAGE(E36:E50)</f>
        <v>0.18833333333333332</v>
      </c>
      <c r="J8" s="13">
        <f>I8-I10</f>
        <v>0.18833333333333332</v>
      </c>
    </row>
    <row r="9" spans="1:15" x14ac:dyDescent="0.25">
      <c r="A9" s="99"/>
      <c r="B9" s="30" t="s">
        <v>85</v>
      </c>
      <c r="C9" s="67">
        <v>5</v>
      </c>
      <c r="D9" s="67">
        <v>5</v>
      </c>
      <c r="E9" s="70">
        <f t="shared" si="0"/>
        <v>0</v>
      </c>
      <c r="F9" s="73">
        <v>0</v>
      </c>
      <c r="G9" s="22" t="s">
        <v>144</v>
      </c>
      <c r="H9" s="80">
        <f>AVERAGE(F51:F65)</f>
        <v>830</v>
      </c>
      <c r="I9" s="81">
        <f>AVERAGE(E51:E65)</f>
        <v>0.16198412698412698</v>
      </c>
      <c r="J9" s="13">
        <f>I9-I10</f>
        <v>0.16198412698412698</v>
      </c>
    </row>
    <row r="10" spans="1:15" x14ac:dyDescent="0.25">
      <c r="A10" s="99"/>
      <c r="B10" s="30" t="s">
        <v>86</v>
      </c>
      <c r="C10" s="67">
        <v>5</v>
      </c>
      <c r="D10" s="67">
        <v>5</v>
      </c>
      <c r="E10" s="70">
        <f t="shared" si="0"/>
        <v>0</v>
      </c>
      <c r="F10" s="73">
        <v>0</v>
      </c>
      <c r="G10" s="27" t="s">
        <v>145</v>
      </c>
      <c r="H10" s="80">
        <v>1000</v>
      </c>
      <c r="I10" s="11"/>
      <c r="J10" s="11">
        <f>I10-I10</f>
        <v>0</v>
      </c>
    </row>
    <row r="11" spans="1:15" x14ac:dyDescent="0.25">
      <c r="A11" s="99"/>
      <c r="B11" s="30" t="s">
        <v>87</v>
      </c>
      <c r="C11" s="67">
        <v>4</v>
      </c>
      <c r="D11" s="67">
        <v>11</v>
      </c>
      <c r="E11" s="70">
        <f t="shared" si="0"/>
        <v>0.63636363636363635</v>
      </c>
      <c r="F11" s="73">
        <v>0</v>
      </c>
      <c r="H11" s="62"/>
    </row>
    <row r="12" spans="1:15" x14ac:dyDescent="0.25">
      <c r="A12" s="99"/>
      <c r="B12" s="30" t="s">
        <v>88</v>
      </c>
      <c r="C12" s="67">
        <v>1</v>
      </c>
      <c r="D12" s="67">
        <v>5</v>
      </c>
      <c r="E12" s="70">
        <f t="shared" si="0"/>
        <v>0.8</v>
      </c>
      <c r="F12" s="73">
        <v>0</v>
      </c>
      <c r="H12" s="62"/>
    </row>
    <row r="13" spans="1:15" x14ac:dyDescent="0.25">
      <c r="A13" s="99"/>
      <c r="B13" s="30" t="s">
        <v>89</v>
      </c>
      <c r="C13" s="67">
        <v>2</v>
      </c>
      <c r="D13" s="67">
        <v>3</v>
      </c>
      <c r="E13" s="70">
        <f t="shared" si="0"/>
        <v>0.33333333333333337</v>
      </c>
      <c r="F13" s="73">
        <v>0</v>
      </c>
      <c r="H13" s="62"/>
      <c r="L13" s="18"/>
    </row>
    <row r="14" spans="1:15" x14ac:dyDescent="0.25">
      <c r="A14" s="99"/>
      <c r="B14" s="30" t="s">
        <v>90</v>
      </c>
      <c r="C14" s="67">
        <v>3</v>
      </c>
      <c r="D14" s="67">
        <v>3</v>
      </c>
      <c r="E14" s="70">
        <f t="shared" si="0"/>
        <v>0</v>
      </c>
      <c r="F14" s="73">
        <v>0</v>
      </c>
      <c r="H14" s="62"/>
    </row>
    <row r="15" spans="1:15" ht="15.95" customHeight="1" x14ac:dyDescent="0.25">
      <c r="A15" s="99"/>
      <c r="B15" s="30" t="s">
        <v>91</v>
      </c>
      <c r="C15" s="67">
        <v>4</v>
      </c>
      <c r="D15" s="67">
        <v>8</v>
      </c>
      <c r="E15" s="70">
        <f t="shared" si="0"/>
        <v>0.5</v>
      </c>
      <c r="F15" s="73">
        <v>0</v>
      </c>
      <c r="H15" s="62"/>
    </row>
    <row r="16" spans="1:15" x14ac:dyDescent="0.25">
      <c r="A16" s="99"/>
      <c r="B16" s="30" t="s">
        <v>92</v>
      </c>
      <c r="C16" s="67">
        <v>3</v>
      </c>
      <c r="D16" s="67">
        <v>3</v>
      </c>
      <c r="E16" s="70">
        <f t="shared" si="0"/>
        <v>0</v>
      </c>
      <c r="F16" s="73">
        <v>0</v>
      </c>
      <c r="H16" s="62"/>
    </row>
    <row r="17" spans="1:13" x14ac:dyDescent="0.25">
      <c r="A17" s="99"/>
      <c r="B17" s="30" t="s">
        <v>93</v>
      </c>
      <c r="C17" s="67">
        <v>6</v>
      </c>
      <c r="D17" s="67">
        <v>7</v>
      </c>
      <c r="E17" s="70">
        <f t="shared" si="0"/>
        <v>0.1428571428571429</v>
      </c>
      <c r="F17" s="73">
        <v>0</v>
      </c>
      <c r="H17" s="62"/>
    </row>
    <row r="18" spans="1:13" x14ac:dyDescent="0.25">
      <c r="A18" s="99"/>
      <c r="B18" s="30" t="s">
        <v>94</v>
      </c>
      <c r="C18" s="67">
        <v>6</v>
      </c>
      <c r="D18" s="67">
        <v>6</v>
      </c>
      <c r="E18" s="70">
        <f t="shared" si="0"/>
        <v>0</v>
      </c>
      <c r="F18" s="73">
        <v>0</v>
      </c>
      <c r="H18" s="62"/>
    </row>
    <row r="19" spans="1:13" x14ac:dyDescent="0.25">
      <c r="A19" s="99"/>
      <c r="B19" s="30" t="s">
        <v>95</v>
      </c>
      <c r="C19" s="67">
        <v>5</v>
      </c>
      <c r="D19" s="67">
        <v>6</v>
      </c>
      <c r="E19" s="70">
        <f t="shared" si="0"/>
        <v>0.16666666666666663</v>
      </c>
      <c r="F19" s="73">
        <v>0</v>
      </c>
      <c r="H19" s="62"/>
    </row>
    <row r="20" spans="1:13" x14ac:dyDescent="0.25">
      <c r="A20" s="99"/>
      <c r="B20" s="30" t="s">
        <v>96</v>
      </c>
      <c r="C20" s="68">
        <v>7</v>
      </c>
      <c r="D20" s="68">
        <v>7</v>
      </c>
      <c r="E20" s="71">
        <f t="shared" si="0"/>
        <v>0</v>
      </c>
      <c r="F20" s="73">
        <v>0</v>
      </c>
      <c r="H20" s="62"/>
    </row>
    <row r="21" spans="1:13" x14ac:dyDescent="0.25">
      <c r="A21" s="96" t="s">
        <v>1</v>
      </c>
      <c r="B21" s="29" t="s">
        <v>97</v>
      </c>
      <c r="C21" s="66">
        <v>6</v>
      </c>
      <c r="D21" s="66">
        <v>7</v>
      </c>
      <c r="E21" s="74">
        <f t="shared" si="0"/>
        <v>0.1428571428571429</v>
      </c>
      <c r="F21" s="77">
        <v>50</v>
      </c>
      <c r="H21" s="62"/>
    </row>
    <row r="22" spans="1:13" x14ac:dyDescent="0.25">
      <c r="A22" s="97"/>
      <c r="B22" s="30" t="s">
        <v>98</v>
      </c>
      <c r="C22" s="67">
        <v>4</v>
      </c>
      <c r="D22" s="67">
        <v>7</v>
      </c>
      <c r="E22" s="75">
        <f t="shared" si="0"/>
        <v>0.4285714285714286</v>
      </c>
      <c r="F22" s="78">
        <v>50</v>
      </c>
      <c r="H22" s="62"/>
    </row>
    <row r="23" spans="1:13" x14ac:dyDescent="0.25">
      <c r="A23" s="97"/>
      <c r="B23" s="30" t="s">
        <v>99</v>
      </c>
      <c r="C23" s="67">
        <v>3</v>
      </c>
      <c r="D23" s="67">
        <v>6</v>
      </c>
      <c r="E23" s="75">
        <f t="shared" si="0"/>
        <v>0.5</v>
      </c>
      <c r="F23" s="78">
        <v>50</v>
      </c>
      <c r="H23" s="62"/>
      <c r="L23" s="61"/>
    </row>
    <row r="24" spans="1:13" x14ac:dyDescent="0.25">
      <c r="A24" s="97"/>
      <c r="B24" s="30" t="s">
        <v>100</v>
      </c>
      <c r="C24" s="67">
        <v>5</v>
      </c>
      <c r="D24" s="67">
        <v>7</v>
      </c>
      <c r="E24" s="75">
        <f t="shared" si="0"/>
        <v>0.2857142857142857</v>
      </c>
      <c r="F24" s="78">
        <v>35</v>
      </c>
      <c r="H24" s="62"/>
      <c r="L24" s="27"/>
    </row>
    <row r="25" spans="1:13" x14ac:dyDescent="0.25">
      <c r="A25" s="97"/>
      <c r="B25" s="30" t="s">
        <v>101</v>
      </c>
      <c r="C25" s="67">
        <v>5</v>
      </c>
      <c r="D25" s="67">
        <v>5</v>
      </c>
      <c r="E25" s="75">
        <f t="shared" si="0"/>
        <v>0</v>
      </c>
      <c r="F25" s="78">
        <v>35</v>
      </c>
      <c r="H25" s="62"/>
      <c r="L25" s="22"/>
      <c r="M25" s="13"/>
    </row>
    <row r="26" spans="1:13" x14ac:dyDescent="0.25">
      <c r="A26" s="97"/>
      <c r="B26" s="30" t="s">
        <v>102</v>
      </c>
      <c r="C26" s="67">
        <v>4</v>
      </c>
      <c r="D26" s="67">
        <v>7</v>
      </c>
      <c r="E26" s="75">
        <f t="shared" si="0"/>
        <v>0.4285714285714286</v>
      </c>
      <c r="F26" s="78">
        <v>35</v>
      </c>
      <c r="H26" s="62"/>
      <c r="L26" s="22"/>
      <c r="M26" s="13"/>
    </row>
    <row r="27" spans="1:13" x14ac:dyDescent="0.25">
      <c r="A27" s="97"/>
      <c r="B27" s="30" t="s">
        <v>103</v>
      </c>
      <c r="C27" s="67">
        <v>1</v>
      </c>
      <c r="D27" s="67">
        <v>3</v>
      </c>
      <c r="E27" s="75">
        <f t="shared" si="0"/>
        <v>0.66666666666666674</v>
      </c>
      <c r="F27" s="78">
        <v>70</v>
      </c>
      <c r="H27" s="62"/>
      <c r="L27" s="22"/>
      <c r="M27" s="13"/>
    </row>
    <row r="28" spans="1:13" x14ac:dyDescent="0.25">
      <c r="A28" s="97"/>
      <c r="B28" s="30" t="s">
        <v>104</v>
      </c>
      <c r="C28" s="67">
        <v>2</v>
      </c>
      <c r="D28" s="67">
        <v>3</v>
      </c>
      <c r="E28" s="75">
        <f t="shared" si="0"/>
        <v>0.33333333333333337</v>
      </c>
      <c r="F28" s="78">
        <v>70</v>
      </c>
      <c r="H28" s="62"/>
      <c r="L28" s="56"/>
    </row>
    <row r="29" spans="1:13" x14ac:dyDescent="0.25">
      <c r="A29" s="97"/>
      <c r="B29" s="30" t="s">
        <v>105</v>
      </c>
      <c r="C29" s="67">
        <v>3</v>
      </c>
      <c r="D29" s="67">
        <v>3</v>
      </c>
      <c r="E29" s="75">
        <f t="shared" si="0"/>
        <v>0</v>
      </c>
      <c r="F29" s="78">
        <v>70</v>
      </c>
      <c r="H29" s="62"/>
    </row>
    <row r="30" spans="1:13" x14ac:dyDescent="0.25">
      <c r="A30" s="97"/>
      <c r="B30" s="30" t="s">
        <v>106</v>
      </c>
      <c r="C30" s="67">
        <v>4</v>
      </c>
      <c r="D30" s="67">
        <v>8</v>
      </c>
      <c r="E30" s="75">
        <f t="shared" si="0"/>
        <v>0.5</v>
      </c>
      <c r="F30" s="78">
        <v>35</v>
      </c>
      <c r="H30" s="62"/>
    </row>
    <row r="31" spans="1:13" ht="15.95" customHeight="1" x14ac:dyDescent="0.25">
      <c r="A31" s="97"/>
      <c r="B31" s="30" t="s">
        <v>107</v>
      </c>
      <c r="C31" s="67">
        <v>3</v>
      </c>
      <c r="D31" s="67">
        <v>3</v>
      </c>
      <c r="E31" s="75">
        <f t="shared" si="0"/>
        <v>0</v>
      </c>
      <c r="F31" s="78">
        <v>35</v>
      </c>
      <c r="H31" s="62"/>
    </row>
    <row r="32" spans="1:13" x14ac:dyDescent="0.25">
      <c r="A32" s="97"/>
      <c r="B32" s="30" t="s">
        <v>108</v>
      </c>
      <c r="C32" s="67">
        <v>6</v>
      </c>
      <c r="D32" s="67">
        <v>7</v>
      </c>
      <c r="E32" s="75">
        <f t="shared" si="0"/>
        <v>0.1428571428571429</v>
      </c>
      <c r="F32" s="78">
        <v>35</v>
      </c>
      <c r="H32" s="62"/>
    </row>
    <row r="33" spans="1:8" x14ac:dyDescent="0.25">
      <c r="A33" s="97"/>
      <c r="B33" s="30" t="s">
        <v>109</v>
      </c>
      <c r="C33" s="67">
        <v>6</v>
      </c>
      <c r="D33" s="67">
        <v>6</v>
      </c>
      <c r="E33" s="75">
        <f t="shared" si="0"/>
        <v>0</v>
      </c>
      <c r="F33" s="78">
        <v>70</v>
      </c>
      <c r="H33" s="62"/>
    </row>
    <row r="34" spans="1:8" x14ac:dyDescent="0.25">
      <c r="A34" s="97"/>
      <c r="B34" s="30" t="s">
        <v>110</v>
      </c>
      <c r="C34" s="67">
        <v>5</v>
      </c>
      <c r="D34" s="67">
        <v>6</v>
      </c>
      <c r="E34" s="75">
        <f t="shared" si="0"/>
        <v>0.16666666666666663</v>
      </c>
      <c r="F34" s="78">
        <v>70</v>
      </c>
      <c r="H34" s="62"/>
    </row>
    <row r="35" spans="1:8" x14ac:dyDescent="0.25">
      <c r="A35" s="98"/>
      <c r="B35" s="31" t="s">
        <v>111</v>
      </c>
      <c r="C35" s="68">
        <v>7</v>
      </c>
      <c r="D35" s="68">
        <v>7</v>
      </c>
      <c r="E35" s="76">
        <f t="shared" si="0"/>
        <v>0</v>
      </c>
      <c r="F35" s="78">
        <v>70</v>
      </c>
      <c r="H35" s="62"/>
    </row>
    <row r="36" spans="1:8" x14ac:dyDescent="0.25">
      <c r="A36" s="96" t="s">
        <v>2</v>
      </c>
      <c r="B36" s="29" t="s">
        <v>112</v>
      </c>
      <c r="C36" s="66">
        <v>6</v>
      </c>
      <c r="D36" s="66">
        <v>7</v>
      </c>
      <c r="E36" s="74">
        <f t="shared" si="0"/>
        <v>0.1428571428571429</v>
      </c>
      <c r="F36" s="77">
        <v>456</v>
      </c>
      <c r="H36" s="62"/>
    </row>
    <row r="37" spans="1:8" x14ac:dyDescent="0.25">
      <c r="A37" s="97"/>
      <c r="B37" s="30" t="s">
        <v>113</v>
      </c>
      <c r="C37" s="67">
        <v>4</v>
      </c>
      <c r="D37" s="67">
        <v>5</v>
      </c>
      <c r="E37" s="75">
        <f t="shared" si="0"/>
        <v>0.19999999999999996</v>
      </c>
      <c r="F37" s="78">
        <v>366</v>
      </c>
      <c r="H37" s="62"/>
    </row>
    <row r="38" spans="1:8" x14ac:dyDescent="0.25">
      <c r="A38" s="97"/>
      <c r="B38" s="30" t="s">
        <v>114</v>
      </c>
      <c r="C38" s="67">
        <v>3</v>
      </c>
      <c r="D38" s="67">
        <v>4</v>
      </c>
      <c r="E38" s="75">
        <f t="shared" si="0"/>
        <v>0.25</v>
      </c>
      <c r="F38" s="78">
        <v>366</v>
      </c>
      <c r="H38" s="62"/>
    </row>
    <row r="39" spans="1:8" x14ac:dyDescent="0.25">
      <c r="A39" s="97"/>
      <c r="B39" s="30" t="s">
        <v>115</v>
      </c>
      <c r="C39" s="67">
        <v>5</v>
      </c>
      <c r="D39" s="67">
        <v>7</v>
      </c>
      <c r="E39" s="75">
        <f t="shared" si="0"/>
        <v>0.2857142857142857</v>
      </c>
      <c r="F39" s="78">
        <v>366</v>
      </c>
      <c r="H39" s="62"/>
    </row>
    <row r="40" spans="1:8" ht="15.95" customHeight="1" x14ac:dyDescent="0.25">
      <c r="A40" s="97"/>
      <c r="B40" s="30" t="s">
        <v>116</v>
      </c>
      <c r="C40" s="67">
        <v>5</v>
      </c>
      <c r="D40" s="67">
        <v>8</v>
      </c>
      <c r="E40" s="75">
        <f t="shared" si="0"/>
        <v>0.375</v>
      </c>
      <c r="F40" s="78">
        <v>560</v>
      </c>
      <c r="H40" s="62"/>
    </row>
    <row r="41" spans="1:8" x14ac:dyDescent="0.25">
      <c r="A41" s="97"/>
      <c r="B41" s="30" t="s">
        <v>117</v>
      </c>
      <c r="C41" s="67">
        <v>4</v>
      </c>
      <c r="D41" s="67">
        <v>7</v>
      </c>
      <c r="E41" s="75">
        <f t="shared" si="0"/>
        <v>0.4285714285714286</v>
      </c>
      <c r="F41" s="78">
        <v>560</v>
      </c>
      <c r="H41" s="62"/>
    </row>
    <row r="42" spans="1:8" x14ac:dyDescent="0.25">
      <c r="A42" s="97"/>
      <c r="B42" s="30" t="s">
        <v>118</v>
      </c>
      <c r="C42" s="67">
        <v>1</v>
      </c>
      <c r="D42" s="67">
        <v>1</v>
      </c>
      <c r="E42" s="75">
        <f t="shared" si="0"/>
        <v>0</v>
      </c>
      <c r="F42" s="78">
        <v>456</v>
      </c>
      <c r="H42" s="62"/>
    </row>
    <row r="43" spans="1:8" x14ac:dyDescent="0.25">
      <c r="A43" s="97"/>
      <c r="B43" s="30" t="s">
        <v>119</v>
      </c>
      <c r="C43" s="67">
        <v>2</v>
      </c>
      <c r="D43" s="67">
        <v>3</v>
      </c>
      <c r="E43" s="75">
        <f t="shared" si="0"/>
        <v>0.33333333333333337</v>
      </c>
      <c r="F43" s="78">
        <v>456</v>
      </c>
      <c r="H43" s="62"/>
    </row>
    <row r="44" spans="1:8" x14ac:dyDescent="0.25">
      <c r="A44" s="97"/>
      <c r="B44" s="30" t="s">
        <v>120</v>
      </c>
      <c r="C44" s="67">
        <v>3</v>
      </c>
      <c r="D44" s="67">
        <v>3</v>
      </c>
      <c r="E44" s="75">
        <f t="shared" si="0"/>
        <v>0</v>
      </c>
      <c r="F44" s="78">
        <v>456</v>
      </c>
      <c r="H44" s="62"/>
    </row>
    <row r="45" spans="1:8" x14ac:dyDescent="0.25">
      <c r="A45" s="97"/>
      <c r="B45" s="30" t="s">
        <v>121</v>
      </c>
      <c r="C45" s="67">
        <v>4</v>
      </c>
      <c r="D45" s="67">
        <v>8</v>
      </c>
      <c r="E45" s="75">
        <f t="shared" si="0"/>
        <v>0.5</v>
      </c>
      <c r="F45" s="78">
        <v>366</v>
      </c>
      <c r="H45" s="62"/>
    </row>
    <row r="46" spans="1:8" ht="15.95" customHeight="1" x14ac:dyDescent="0.25">
      <c r="A46" s="97"/>
      <c r="B46" s="30" t="s">
        <v>122</v>
      </c>
      <c r="C46" s="67">
        <v>3</v>
      </c>
      <c r="D46" s="67">
        <v>3</v>
      </c>
      <c r="E46" s="75">
        <f t="shared" si="0"/>
        <v>0</v>
      </c>
      <c r="F46" s="78">
        <v>366</v>
      </c>
      <c r="H46" s="62"/>
    </row>
    <row r="47" spans="1:8" x14ac:dyDescent="0.25">
      <c r="A47" s="97"/>
      <c r="B47" s="30" t="s">
        <v>123</v>
      </c>
      <c r="C47" s="67">
        <v>6</v>
      </c>
      <c r="D47" s="67">
        <v>7</v>
      </c>
      <c r="E47" s="75">
        <f t="shared" si="0"/>
        <v>0.1428571428571429</v>
      </c>
      <c r="F47" s="78">
        <v>366</v>
      </c>
      <c r="H47" s="62"/>
    </row>
    <row r="48" spans="1:8" x14ac:dyDescent="0.25">
      <c r="A48" s="97"/>
      <c r="B48" s="30" t="s">
        <v>124</v>
      </c>
      <c r="C48" s="67">
        <v>6</v>
      </c>
      <c r="D48" s="67">
        <v>6</v>
      </c>
      <c r="E48" s="75">
        <f t="shared" si="0"/>
        <v>0</v>
      </c>
      <c r="F48" s="78">
        <v>560</v>
      </c>
      <c r="H48" s="62"/>
    </row>
    <row r="49" spans="1:8" x14ac:dyDescent="0.25">
      <c r="A49" s="97"/>
      <c r="B49" s="30" t="s">
        <v>125</v>
      </c>
      <c r="C49" s="67">
        <v>5</v>
      </c>
      <c r="D49" s="67">
        <v>6</v>
      </c>
      <c r="E49" s="75">
        <f t="shared" si="0"/>
        <v>0.16666666666666663</v>
      </c>
      <c r="F49" s="78">
        <v>560</v>
      </c>
      <c r="H49" s="62"/>
    </row>
    <row r="50" spans="1:8" x14ac:dyDescent="0.25">
      <c r="A50" s="98"/>
      <c r="B50" s="31" t="s">
        <v>126</v>
      </c>
      <c r="C50" s="68">
        <v>7</v>
      </c>
      <c r="D50" s="68">
        <v>7</v>
      </c>
      <c r="E50" s="76">
        <f t="shared" si="0"/>
        <v>0</v>
      </c>
      <c r="F50" s="78">
        <v>560</v>
      </c>
      <c r="H50" s="62"/>
    </row>
    <row r="51" spans="1:8" x14ac:dyDescent="0.25">
      <c r="A51" s="96" t="s">
        <v>3</v>
      </c>
      <c r="B51" s="29" t="s">
        <v>127</v>
      </c>
      <c r="C51" s="66">
        <v>6</v>
      </c>
      <c r="D51" s="66">
        <v>7</v>
      </c>
      <c r="E51" s="74">
        <f t="shared" si="0"/>
        <v>0.1428571428571429</v>
      </c>
      <c r="F51" s="77">
        <v>845</v>
      </c>
      <c r="H51" s="62"/>
    </row>
    <row r="52" spans="1:8" x14ac:dyDescent="0.25">
      <c r="A52" s="97"/>
      <c r="B52" s="30" t="s">
        <v>128</v>
      </c>
      <c r="C52" s="67">
        <v>4</v>
      </c>
      <c r="D52" s="67">
        <v>5</v>
      </c>
      <c r="E52" s="75">
        <f t="shared" si="0"/>
        <v>0.19999999999999996</v>
      </c>
      <c r="F52" s="78">
        <v>900</v>
      </c>
      <c r="H52" s="62"/>
    </row>
    <row r="53" spans="1:8" x14ac:dyDescent="0.25">
      <c r="A53" s="97"/>
      <c r="B53" s="30" t="s">
        <v>129</v>
      </c>
      <c r="C53" s="67">
        <v>3</v>
      </c>
      <c r="D53" s="67">
        <v>4</v>
      </c>
      <c r="E53" s="75">
        <f t="shared" si="0"/>
        <v>0.25</v>
      </c>
      <c r="F53" s="78">
        <v>900</v>
      </c>
      <c r="H53" s="62"/>
    </row>
    <row r="54" spans="1:8" x14ac:dyDescent="0.25">
      <c r="A54" s="97"/>
      <c r="B54" s="30" t="s">
        <v>130</v>
      </c>
      <c r="C54" s="67">
        <v>5</v>
      </c>
      <c r="D54" s="67">
        <v>7</v>
      </c>
      <c r="E54" s="75">
        <f t="shared" si="0"/>
        <v>0.2857142857142857</v>
      </c>
      <c r="F54" s="78">
        <v>900</v>
      </c>
      <c r="H54" s="62"/>
    </row>
    <row r="55" spans="1:8" x14ac:dyDescent="0.25">
      <c r="A55" s="97"/>
      <c r="B55" s="30" t="s">
        <v>131</v>
      </c>
      <c r="C55" s="67">
        <v>5</v>
      </c>
      <c r="D55" s="67">
        <v>8</v>
      </c>
      <c r="E55" s="75">
        <f t="shared" si="0"/>
        <v>0.375</v>
      </c>
      <c r="F55" s="78">
        <v>734</v>
      </c>
      <c r="H55" s="62"/>
    </row>
    <row r="56" spans="1:8" x14ac:dyDescent="0.25">
      <c r="A56" s="97"/>
      <c r="B56" s="30" t="s">
        <v>132</v>
      </c>
      <c r="C56" s="67">
        <v>4</v>
      </c>
      <c r="D56" s="67">
        <v>5</v>
      </c>
      <c r="E56" s="75">
        <f t="shared" si="0"/>
        <v>0.19999999999999996</v>
      </c>
      <c r="F56" s="78">
        <v>734</v>
      </c>
      <c r="H56" s="62"/>
    </row>
    <row r="57" spans="1:8" x14ac:dyDescent="0.25">
      <c r="A57" s="97"/>
      <c r="B57" s="30" t="s">
        <v>133</v>
      </c>
      <c r="C57" s="67">
        <v>1</v>
      </c>
      <c r="D57" s="67">
        <v>1</v>
      </c>
      <c r="E57" s="75">
        <f t="shared" si="0"/>
        <v>0</v>
      </c>
      <c r="F57" s="78">
        <v>845</v>
      </c>
      <c r="H57" s="62"/>
    </row>
    <row r="58" spans="1:8" x14ac:dyDescent="0.25">
      <c r="A58" s="97"/>
      <c r="B58" s="30" t="s">
        <v>134</v>
      </c>
      <c r="C58" s="67">
        <v>2</v>
      </c>
      <c r="D58" s="67">
        <v>3</v>
      </c>
      <c r="E58" s="75">
        <f t="shared" si="0"/>
        <v>0.33333333333333337</v>
      </c>
      <c r="F58" s="78">
        <v>845</v>
      </c>
      <c r="H58" s="62"/>
    </row>
    <row r="59" spans="1:8" x14ac:dyDescent="0.25">
      <c r="A59" s="97"/>
      <c r="B59" s="30" t="s">
        <v>135</v>
      </c>
      <c r="C59" s="67">
        <v>3</v>
      </c>
      <c r="D59" s="67">
        <v>3</v>
      </c>
      <c r="E59" s="75">
        <f t="shared" si="0"/>
        <v>0</v>
      </c>
      <c r="F59" s="78">
        <v>845</v>
      </c>
      <c r="H59" s="62"/>
    </row>
    <row r="60" spans="1:8" x14ac:dyDescent="0.25">
      <c r="A60" s="97"/>
      <c r="B60" s="30" t="s">
        <v>136</v>
      </c>
      <c r="C60" s="67">
        <v>4</v>
      </c>
      <c r="D60" s="67">
        <v>6</v>
      </c>
      <c r="E60" s="75">
        <f t="shared" si="0"/>
        <v>0.33333333333333337</v>
      </c>
      <c r="F60" s="78">
        <v>900</v>
      </c>
      <c r="H60" s="62"/>
    </row>
    <row r="61" spans="1:8" x14ac:dyDescent="0.25">
      <c r="A61" s="97"/>
      <c r="B61" s="30" t="s">
        <v>137</v>
      </c>
      <c r="C61" s="67">
        <v>3</v>
      </c>
      <c r="D61" s="67">
        <v>3</v>
      </c>
      <c r="E61" s="75">
        <f t="shared" si="0"/>
        <v>0</v>
      </c>
      <c r="F61" s="78">
        <v>900</v>
      </c>
      <c r="H61" s="62"/>
    </row>
    <row r="62" spans="1:8" x14ac:dyDescent="0.25">
      <c r="A62" s="97"/>
      <c r="B62" s="30" t="s">
        <v>138</v>
      </c>
      <c r="C62" s="67">
        <v>6</v>
      </c>
      <c r="D62" s="67">
        <v>7</v>
      </c>
      <c r="E62" s="75">
        <f t="shared" si="0"/>
        <v>0.1428571428571429</v>
      </c>
      <c r="F62" s="78">
        <v>900</v>
      </c>
      <c r="H62" s="62"/>
    </row>
    <row r="63" spans="1:8" x14ac:dyDescent="0.25">
      <c r="A63" s="97"/>
      <c r="B63" s="30" t="s">
        <v>139</v>
      </c>
      <c r="C63" s="67">
        <v>6</v>
      </c>
      <c r="D63" s="67">
        <v>6</v>
      </c>
      <c r="E63" s="75">
        <f t="shared" si="0"/>
        <v>0</v>
      </c>
      <c r="F63" s="78">
        <v>734</v>
      </c>
      <c r="H63" s="62"/>
    </row>
    <row r="64" spans="1:8" x14ac:dyDescent="0.25">
      <c r="A64" s="97"/>
      <c r="B64" s="30" t="s">
        <v>140</v>
      </c>
      <c r="C64" s="67">
        <v>5</v>
      </c>
      <c r="D64" s="67">
        <v>6</v>
      </c>
      <c r="E64" s="75">
        <f t="shared" si="0"/>
        <v>0.16666666666666663</v>
      </c>
      <c r="F64" s="78">
        <v>734</v>
      </c>
      <c r="H64" s="62"/>
    </row>
    <row r="65" spans="1:8" x14ac:dyDescent="0.25">
      <c r="A65" s="98"/>
      <c r="B65" s="31" t="s">
        <v>141</v>
      </c>
      <c r="C65" s="68">
        <v>7</v>
      </c>
      <c r="D65" s="68">
        <v>7</v>
      </c>
      <c r="E65" s="76">
        <f t="shared" si="0"/>
        <v>0</v>
      </c>
      <c r="F65" s="79">
        <v>734</v>
      </c>
      <c r="H65" s="62"/>
    </row>
  </sheetData>
  <mergeCells count="4">
    <mergeCell ref="A6:A20"/>
    <mergeCell ref="A21:A35"/>
    <mergeCell ref="A36:A50"/>
    <mergeCell ref="A51:A6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Red Standard</vt:lpstr>
      <vt:lpstr>Red Standard Alternative</vt:lpstr>
      <vt:lpstr>Amber Standard</vt:lpstr>
      <vt:lpstr>Amber Standard Alternative</vt:lpstr>
      <vt:lpstr>Green Standard</vt:lpstr>
      <vt:lpstr>Green Standard Alternative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Kelvin Peh</cp:lastModifiedBy>
  <dcterms:created xsi:type="dcterms:W3CDTF">2016-11-02T14:07:54Z</dcterms:created>
  <dcterms:modified xsi:type="dcterms:W3CDTF">2022-09-20T17:16:45Z</dcterms:modified>
</cp:coreProperties>
</file>